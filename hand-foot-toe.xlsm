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011" codeName="{52B413DB-416B-A148-0A32-6202AF4EA3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Volumes/pub/hand-and-foot/"/>
    </mc:Choice>
  </mc:AlternateContent>
  <xr:revisionPtr revIDLastSave="0" documentId="8_{A0B69818-2C2D-2D44-ADC5-40DFAEEB4C9D}" xr6:coauthVersionLast="47" xr6:coauthVersionMax="47" xr10:uidLastSave="{00000000-0000-0000-0000-000000000000}"/>
  <bookViews>
    <workbookView xWindow="11860" yWindow="1160" windowWidth="30000" windowHeight="23260" xr2:uid="{00000000-000D-0000-FFFF-FFFF00000000}"/>
  </bookViews>
  <sheets>
    <sheet name="Game" sheetId="4" r:id="rId1"/>
    <sheet name="Scoring" sheetId="5" r:id="rId2"/>
    <sheet name="Rules" sheetId="6" r:id="rId3"/>
  </sheets>
  <definedNames>
    <definedName name="clean">Scoring!$B$4</definedName>
    <definedName name="count">Scoring!$B$11</definedName>
    <definedName name="deal">Scoring!$B$3</definedName>
    <definedName name="dirty">Scoring!$B$5</definedName>
    <definedName name="exact">Scoring!$B$3</definedName>
    <definedName name="fives">Scoring!$B$7</definedName>
    <definedName name="games">#REF!</definedName>
    <definedName name="out">Scoring!$B$10</definedName>
    <definedName name="redthrees">Scoring!$B$9</definedName>
    <definedName name="sevens">Scoring!$B$8</definedName>
    <definedName name="wild">Scoring!$B$6</definedName>
    <definedName name="wilds">Scoring!$B$6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9" i="4" l="1"/>
  <c r="C19" i="4"/>
  <c r="B19" i="4" l="1"/>
  <c r="F18" i="4"/>
  <c r="E18" i="4"/>
  <c r="B18" i="4"/>
  <c r="F1" i="4"/>
  <c r="E17" i="5" l="1"/>
  <c r="D17" i="5"/>
  <c r="E2" i="5"/>
  <c r="C2" i="4" s="1"/>
  <c r="D2" i="5"/>
  <c r="B2" i="4" s="1"/>
  <c r="A2" i="4"/>
  <c r="D1" i="5"/>
  <c r="E1" i="5"/>
  <c r="G1" i="5"/>
  <c r="H1" i="5"/>
  <c r="J1" i="5"/>
  <c r="K1" i="5"/>
  <c r="M1" i="5"/>
  <c r="N1" i="5"/>
  <c r="D3" i="5"/>
  <c r="E3" i="5"/>
  <c r="G3" i="5"/>
  <c r="H3" i="5"/>
  <c r="J3" i="5"/>
  <c r="K3" i="5"/>
  <c r="M3" i="5"/>
  <c r="N3" i="5"/>
  <c r="D4" i="5"/>
  <c r="E4" i="5"/>
  <c r="G4" i="5"/>
  <c r="H4" i="5"/>
  <c r="J4" i="5"/>
  <c r="K4" i="5"/>
  <c r="M4" i="5"/>
  <c r="N4" i="5"/>
  <c r="D5" i="5"/>
  <c r="E5" i="5"/>
  <c r="G5" i="5"/>
  <c r="H5" i="5"/>
  <c r="J5" i="5"/>
  <c r="K5" i="5"/>
  <c r="M5" i="5"/>
  <c r="N5" i="5"/>
  <c r="D6" i="5"/>
  <c r="E6" i="5"/>
  <c r="G6" i="5"/>
  <c r="H6" i="5"/>
  <c r="J6" i="5"/>
  <c r="K6" i="5"/>
  <c r="M6" i="5"/>
  <c r="N6" i="5"/>
  <c r="D7" i="5"/>
  <c r="E7" i="5"/>
  <c r="G7" i="5"/>
  <c r="H7" i="5"/>
  <c r="J7" i="5"/>
  <c r="K7" i="5"/>
  <c r="M7" i="5"/>
  <c r="N7" i="5"/>
  <c r="D8" i="5"/>
  <c r="E8" i="5"/>
  <c r="G8" i="5"/>
  <c r="H8" i="5"/>
  <c r="J8" i="5"/>
  <c r="K8" i="5"/>
  <c r="M8" i="5"/>
  <c r="N8" i="5"/>
  <c r="D9" i="5"/>
  <c r="E9" i="5"/>
  <c r="G9" i="5"/>
  <c r="H9" i="5"/>
  <c r="J9" i="5"/>
  <c r="K9" i="5"/>
  <c r="M9" i="5"/>
  <c r="N9" i="5"/>
  <c r="D10" i="5"/>
  <c r="E10" i="5"/>
  <c r="G10" i="5"/>
  <c r="H10" i="5"/>
  <c r="J10" i="5"/>
  <c r="K10" i="5"/>
  <c r="M10" i="5"/>
  <c r="N10" i="5"/>
  <c r="D11" i="5"/>
  <c r="E11" i="5"/>
  <c r="G11" i="5"/>
  <c r="H11" i="5"/>
  <c r="J11" i="5"/>
  <c r="K11" i="5"/>
  <c r="M11" i="5"/>
  <c r="N11" i="5"/>
  <c r="D12" i="5"/>
  <c r="E12" i="5"/>
  <c r="G12" i="5"/>
  <c r="H12" i="5"/>
  <c r="J12" i="5"/>
  <c r="K12" i="5"/>
  <c r="M12" i="5"/>
  <c r="N12" i="5"/>
  <c r="E1" i="4"/>
  <c r="E13" i="5" l="1"/>
  <c r="H17" i="5" s="1"/>
  <c r="D13" i="5"/>
  <c r="G13" i="5" s="1"/>
  <c r="J13" i="5" s="1"/>
  <c r="M13" i="5" s="1"/>
  <c r="F17" i="4"/>
  <c r="E17" i="4"/>
  <c r="A4" i="4"/>
  <c r="A12" i="4"/>
  <c r="H13" i="5" l="1"/>
  <c r="J17" i="5"/>
  <c r="J2" i="5" s="1"/>
  <c r="H2" i="4" s="1"/>
  <c r="H2" i="5"/>
  <c r="F2" i="4" s="1"/>
  <c r="M17" i="5"/>
  <c r="M2" i="5" s="1"/>
  <c r="K2" i="4" s="1"/>
  <c r="G17" i="5"/>
  <c r="G2" i="5" s="1"/>
  <c r="E2" i="4" s="1"/>
  <c r="K13" i="5" l="1"/>
  <c r="K17" i="5"/>
  <c r="K2" i="5" s="1"/>
  <c r="I2" i="4" s="1"/>
  <c r="C171" i="4"/>
  <c r="C18" i="4" s="1"/>
  <c r="H18" i="4" s="1"/>
  <c r="L1" i="4"/>
  <c r="K1" i="4"/>
  <c r="I1" i="4"/>
  <c r="H1" i="4"/>
  <c r="A11" i="4"/>
  <c r="A3" i="4"/>
  <c r="A9" i="4"/>
  <c r="A10" i="4"/>
  <c r="A8" i="4"/>
  <c r="A7" i="4"/>
  <c r="A6" i="4"/>
  <c r="A5" i="4"/>
  <c r="N13" i="5" l="1"/>
  <c r="N17" i="5"/>
  <c r="N2" i="5" s="1"/>
  <c r="L2" i="4" s="1"/>
  <c r="C14" i="4"/>
  <c r="I14" i="4"/>
  <c r="K14" i="4"/>
  <c r="E14" i="4"/>
  <c r="F14" i="4"/>
  <c r="H14" i="4"/>
  <c r="Y17" i="4"/>
  <c r="O17" i="4"/>
  <c r="X17" i="4"/>
  <c r="V17" i="4"/>
  <c r="U17" i="4"/>
  <c r="S17" i="4"/>
  <c r="R17" i="4"/>
  <c r="P17" i="4"/>
  <c r="L14" i="4"/>
  <c r="B14" i="4"/>
  <c r="C17" i="4" l="1"/>
  <c r="H15" i="4"/>
  <c r="E15" i="4"/>
  <c r="F15" i="4"/>
  <c r="L15" i="4"/>
  <c r="K15" i="4"/>
  <c r="I15" i="4"/>
  <c r="B17" i="4"/>
  <c r="C15" i="4"/>
  <c r="B15" i="4"/>
  <c r="A17" i="4" l="1"/>
  <c r="H17" i="4"/>
</calcChain>
</file>

<file path=xl/sharedStrings.xml><?xml version="1.0" encoding="utf-8"?>
<sst xmlns="http://schemas.openxmlformats.org/spreadsheetml/2006/main" count="907" uniqueCount="774">
  <si>
    <t>dirty</t>
  </si>
  <si>
    <t>clean</t>
  </si>
  <si>
    <t>fives</t>
  </si>
  <si>
    <t>sevens</t>
  </si>
  <si>
    <t>out</t>
  </si>
  <si>
    <t>red3</t>
  </si>
  <si>
    <t>deal</t>
  </si>
  <si>
    <t>girls</t>
  </si>
  <si>
    <t>guys</t>
  </si>
  <si>
    <t>wilds</t>
  </si>
  <si>
    <t>count</t>
  </si>
  <si>
    <t>penalty</t>
  </si>
  <si>
    <t>score</t>
  </si>
  <si>
    <t>by</t>
  </si>
  <si>
    <t>Game</t>
  </si>
  <si>
    <t>Red Threes</t>
  </si>
  <si>
    <t>Lead</t>
  </si>
  <si>
    <t>Wins</t>
  </si>
  <si>
    <t>0,1500,300,2000,0,0,600,0,760,-270</t>
  </si>
  <si>
    <t>0,2500,900,2000,1500,1000,300,500,1140,-25</t>
  </si>
  <si>
    <t>0,2000,300,2000,1500,1000,200,0,1050,-550</t>
  </si>
  <si>
    <t>0,2500,900,2000,1500,1000,500,500,1010,-140</t>
  </si>
  <si>
    <t>200,2000,900,2000,1500,1000,600,500,1165,-30</t>
  </si>
  <si>
    <t>200,3000,600,0,0,1000,300,0,995,-225</t>
  </si>
  <si>
    <t>0,1500,1500,2000,1500,1000,400,500,1260,-25</t>
  </si>
  <si>
    <t>0,1500,600,2000,1500,0,600,0,895,-220</t>
  </si>
  <si>
    <t>0,2500,0,0,0,1000,100,0,720,-430</t>
  </si>
  <si>
    <t>400,2000,600,2000,1500,1000,500,500,1030,-220</t>
  </si>
  <si>
    <t>0,1500,300,0,0,1000,0,0,805,-355</t>
  </si>
  <si>
    <t>0,2500,600,2000,1500,1000,200,500,1060,-5</t>
  </si>
  <si>
    <t>0,2000,1200,2000,1500,2000,400,500,1500,-20</t>
  </si>
  <si>
    <t>0,3000,1200,2000,1500,0,200,0,1160,-25</t>
  </si>
  <si>
    <t>0,0,0,0,0,0,0,0,0,0</t>
  </si>
  <si>
    <t>forfeit</t>
  </si>
  <si>
    <t>0,3000,600,2000,1500,1000,400,0,1080,-235</t>
  </si>
  <si>
    <t>200,3500,600,2000,1500,1000,500,500,1415,-5</t>
  </si>
  <si>
    <t>0,2000,1200,0,1500,1000,400,0,1235,-65</t>
  </si>
  <si>
    <t>0,3000,300,2000,1500,1000,400,500,1005,-15</t>
  </si>
  <si>
    <t>0,1000,600,2000,0,0,200,0,560,-440</t>
  </si>
  <si>
    <t>0,1500,1200,2000,1500,1000,400,500,1135,-20</t>
  </si>
  <si>
    <t>200,2000,1200,2000,1500,1000,600,500,1045,-40</t>
  </si>
  <si>
    <t>0,500,600,2000,0,0,200,0,780,-460</t>
  </si>
  <si>
    <t>0,2000,600,2000,1500,1000,400,500,1000,-115</t>
  </si>
  <si>
    <t>200,500,600,2000,1500,1000,400,0,890,-265</t>
  </si>
  <si>
    <t>0,3000,900,2000,1500,1000,300,500,1180,-30</t>
  </si>
  <si>
    <t>200,2000,600,2000,1500,1000,300,0,1010,-220</t>
  </si>
  <si>
    <t>0,3000,600,2000,1500,1000,300,500,1140,-20</t>
  </si>
  <si>
    <t>0,1500,900,2000,1500,1000,500,0,1060,-325</t>
  </si>
  <si>
    <t>0,3000,600,2000,1500,1000,800,500,1280,-165</t>
  </si>
  <si>
    <t>200,3500,600,0,1500,1000,300,0,1325,-40</t>
  </si>
  <si>
    <t>0,4000,600,2000,0,1000,400,0,1135,-20</t>
  </si>
  <si>
    <t>0,2000,1200,2000,1500,1000,600,500,1265,-25</t>
  </si>
  <si>
    <t>0,1000,600,2000,0,1000,300,0,795,-215</t>
  </si>
  <si>
    <t>200,1000,1200,2000,1500,1000,300,0,1245,-20</t>
  </si>
  <si>
    <t>0,3000,300,0,1500,1000,600,0,945,-125</t>
  </si>
  <si>
    <t>0,3000,1200,2000,1500,1000,500,500,1325,-5</t>
  </si>
  <si>
    <t>0,3500,0,4000,1500,1000,700,0,1165,-45</t>
  </si>
  <si>
    <t>0,2000,1500,2000,1500,1000,300,500,1370,0</t>
  </si>
  <si>
    <t>0,2500,900,2000,1500,1000,200,500,1160,-20</t>
  </si>
  <si>
    <t>0,2000,1800,2000,0,1000,400,0,1370,-25</t>
  </si>
  <si>
    <t>0,2500,900,2000,1500,1000,500,500,1250,-10</t>
  </si>
  <si>
    <t>0,2000,1200,0,1500,2000,500,0,1305,-25</t>
  </si>
  <si>
    <t>0,3500,600,2000,1500,1000,600,500,1250,-25</t>
  </si>
  <si>
    <t>0,500,300,0,1500,1000,0,0,795,-330</t>
  </si>
  <si>
    <t>400,2500,1200,0,1500,1000,600,0,1315,-30</t>
  </si>
  <si>
    <t>0,2500,1200,4000,1500,1000,500,500,1160,-5</t>
  </si>
  <si>
    <t>0,3000,1200,2000,1500,1000,600,500,1150,-5</t>
  </si>
  <si>
    <t>0,3000,300,2000,1500,1000,200,0,990,-260</t>
  </si>
  <si>
    <t>0,3000,0,0,0,1000,300,0,1040,-190</t>
  </si>
  <si>
    <t>0,3000,600,2000,1500,1000,600,500,1110,-45</t>
  </si>
  <si>
    <t>0,0,0,0,0,0,0,0,315,-1000</t>
  </si>
  <si>
    <t>0,3000,900,2000,1500,1000,600,500,1230,-5</t>
  </si>
  <si>
    <t>0,3000,300,0,1500,1000,400,0,995,-230</t>
  </si>
  <si>
    <t>0,3000,600,2000,1500,1000,800,500,1165,-10</t>
  </si>
  <si>
    <t>0,3500,300,0,1500,1000,400,0,1085,-20</t>
  </si>
  <si>
    <t>200,1500,600,2000,1500,0,300,0,730,-260</t>
  </si>
  <si>
    <t>0,2500,900,2000,1500,2000,300,500,1260,-5</t>
  </si>
  <si>
    <t>0,1500,600,2000,0,1000,300,0,1050,-400</t>
  </si>
  <si>
    <t>0,2000,600,2000,1500,1000,400,500,1005,-5</t>
  </si>
  <si>
    <t>200,2000,1200,2000,1500,1000,500,500,1080,-20</t>
  </si>
  <si>
    <t>0,3000,0,2000,0,1000,400,0,825,-175</t>
  </si>
  <si>
    <t>200,2000,900,2000,1500,1000,600,500,1230,-5</t>
  </si>
  <si>
    <t>0,2000,1200,2000,1500,1000,600,500,1070,-25</t>
  </si>
  <si>
    <t>200,3500,600,2000,0,1000,400,0,1040,-155</t>
  </si>
  <si>
    <t>200,3500,300,0,0,0,300,0,710,-365</t>
  </si>
  <si>
    <t>200,3500,300,2000,1500,1000,300,500,1125,-35</t>
  </si>
  <si>
    <t>200,3000,900,2000,1500,1000,500,0,1165,-25</t>
  </si>
  <si>
    <t>0,3500,300,2000,1500,2000,600,500,1320,-15</t>
  </si>
  <si>
    <t>200,1500,1500,2000,0,1000,600,0,1265,-80</t>
  </si>
  <si>
    <t>0,3500,300,2000,1500,1000,400,500,1070,-55</t>
  </si>
  <si>
    <t>0,3500,300,2000,1500,0,400,0,1115,-45</t>
  </si>
  <si>
    <t>0,2000,900,2000,1500,1000,500,500,1115,-240</t>
  </si>
  <si>
    <t>0,3000,600,2000,1500,1000,400,500,975,-50</t>
  </si>
  <si>
    <t>0,3000,0,0,0,2000,300,0,1085,-300</t>
  </si>
  <si>
    <t>0,3500,1200,0,1500,1000,700,0,1240,-40</t>
  </si>
  <si>
    <t>0,2000,1800,2000,1500,1000,400,500,1465,-5</t>
  </si>
  <si>
    <t>0,1000,0,2000,1500,1000,400,0,855,-335</t>
  </si>
  <si>
    <t>400,3000,600,2000,1500,1000,400,500,1100,-20</t>
  </si>
  <si>
    <t>0,1500,600,2000,1500,1000,300,500,975,-110</t>
  </si>
  <si>
    <t>0,2000,600,0,1500,1000,600,0,925,-180</t>
  </si>
  <si>
    <t>0,1500,900,2000,1500,1000,500,500,975,-115</t>
  </si>
  <si>
    <t>200,1500,1500,2000,0,1000,300,0,1020,-1255</t>
  </si>
  <si>
    <t>0,2000,600,0,1500,1000,400,0,895,-400</t>
  </si>
  <si>
    <t>0,3000,600,2000,1500,1000,500,500,1105,-25</t>
  </si>
  <si>
    <t>0,3000,600,2000,1500,1000,500,500,1050,-5</t>
  </si>
  <si>
    <t>0,2500,0,0,1500,0,300,0,825,-350</t>
  </si>
  <si>
    <t>0,1500,1800,2000,1500,1000,700,500,1275,-15</t>
  </si>
  <si>
    <t>0,3500,600,0,1500,1000,400,0,1345,-25</t>
  </si>
  <si>
    <t>0,2500,600,2000,1500,1000,400,500,1200,-5</t>
  </si>
  <si>
    <t>0,2500,900,2000,0,1000,500,0,1005,-100</t>
  </si>
  <si>
    <t>0,500,300,2000,1500,1000,200,0,615,-510</t>
  </si>
  <si>
    <t>200,3000,300,2000,1500,1000,600,500,1220,-25</t>
  </si>
  <si>
    <t>0,3500,300,0,1500,1000,200,0,1115,-15</t>
  </si>
  <si>
    <t>200,1500,1200,2000,1500,1000,500,500,1165,-20</t>
  </si>
  <si>
    <t>0,3000,1500,2000,1500,1000,700,500,1360,-10</t>
  </si>
  <si>
    <t>200,2500,0,0,1500,1000,200,0,865,-285</t>
  </si>
  <si>
    <t>0,2500,1500,2000,1500,1000,600,500,1345,-20</t>
  </si>
  <si>
    <t>0,3000,1200,0,1500,2000,400,0,1430,-70</t>
  </si>
  <si>
    <t>0,2000,1200,2000,1500,1000,400,500,1010,-5</t>
  </si>
  <si>
    <t>0,3000,300,0,1500,1000,600,0,1050,-260</t>
  </si>
  <si>
    <t>meld</t>
  </si>
  <si>
    <t>melds</t>
  </si>
  <si>
    <t>Deal</t>
  </si>
  <si>
    <t>Each player self-deals three piles of cards</t>
  </si>
  <si>
    <t>Hand is 15 cards</t>
  </si>
  <si>
    <t>Foot is 13 cards</t>
  </si>
  <si>
    <t>Toe is 11 cards</t>
  </si>
  <si>
    <t>Bonus</t>
  </si>
  <si>
    <t>If a player deals exactly the correct count (39 cards) a bonus of 200 is awarded</t>
  </si>
  <si>
    <t>First</t>
  </si>
  <si>
    <t>After all cards are shuffled, each player cuts a card; high card gets to go first. 2 is low; ace is higher than king, joker wins all. If a tie for high card, the tied players will re-cut until no tie exists.</t>
  </si>
  <si>
    <t>Initial play</t>
  </si>
  <si>
    <t>During play, red threes may be turned up at any point during a players turn. If a player has red threes in hand, they may be turned up and replaced *BEFORE* deciding to take the discard pile or drawing from the stock</t>
  </si>
  <si>
    <t>No card is turned up. The first player proceeds to take cards from the stock.</t>
  </si>
  <si>
    <t>Red threes</t>
  </si>
  <si>
    <t>Every red three turned up is replaced with two new cards from the stock. A red three drawn is also replaced with two new cards, etc.</t>
  </si>
  <si>
    <t>Meld</t>
  </si>
  <si>
    <t>Each team must meet a minimum meld to "get on the table". This meld varies depending on the teams current score.</t>
  </si>
  <si>
    <t>The meld must be made of normal played cards; a canasta counts as the nominal point count of its cards BUT NOT AS ITS CANASTA VALUE.</t>
  </si>
  <si>
    <t>Red threes do not count toward meld</t>
  </si>
  <si>
    <t>Taking the discards</t>
  </si>
  <si>
    <t>A player may take the top seven cards from the discard pile IF the top card matches two natural cards which are played BEFORE the other six cards are taken.</t>
  </si>
  <si>
    <t>0,3000,300,2000,1500,1000,300,0,1050,-175</t>
  </si>
  <si>
    <t>0,2500,600,2000,1500,1000,400,500,1230,-5</t>
  </si>
  <si>
    <t>200,2000,900,0,1500,1000,500,0,1060,-195</t>
  </si>
  <si>
    <t>0,3000,600,2000,1500,1000,600,500,1115,-10</t>
  </si>
  <si>
    <t>200,2500,1800,2000,1500,1000,700,500,1585,-10</t>
  </si>
  <si>
    <t>0,3000,300,2000,1500,1000,200,0,970,-160</t>
  </si>
  <si>
    <t>200,1000,300,2000,1500,0,200,0,670,-465</t>
  </si>
  <si>
    <t>200,2000,1500,2000,1500,1000,500,500,1115,-20</t>
  </si>
  <si>
    <t>200,1500,1500,2000,1500,1000,200,0,1175,-35</t>
  </si>
  <si>
    <t>0,3000,900,2000,1500,1000,800,500,1300,-50</t>
  </si>
  <si>
    <t>0,2000,1500,2000,1500,1000,200,500,1245,-5</t>
  </si>
  <si>
    <t>0,3500,900,0,3000,1000,700,0,1155,-130</t>
  </si>
  <si>
    <t>0,2500,1200,2000,0,1000,400,0,1300,-20</t>
  </si>
  <si>
    <t>0,1000,1800,2000,1500,1000,500,500,1230,-20</t>
  </si>
  <si>
    <t>200,2000,1800,2000,1500,1000,700,500,1295,-5</t>
  </si>
  <si>
    <t>0,2000,600,2000,0,1000,200,0,830,-200</t>
  </si>
  <si>
    <t>0,2000,900,2000,1500,1000,400,500,1180,-55</t>
  </si>
  <si>
    <t>0,2000,0,2000,1500,2000,300,0,1105,-295</t>
  </si>
  <si>
    <t>0,2000,1200,2000,1500,1000,500,500,1040,-10</t>
  </si>
  <si>
    <t>0,0,300,2000,0,0,0,0,360,-660</t>
  </si>
  <si>
    <t>0,3500,300,2000,0,1000,400,0,915,-440</t>
  </si>
  <si>
    <t>0,2500,900,2000,1500,1000,200,500,1175,-60</t>
  </si>
  <si>
    <t>200,2500,300,2000,1500,1000,300,500,1095,-45</t>
  </si>
  <si>
    <t>200,2000,1500,0,1500,1000,700,0,1205,-35</t>
  </si>
  <si>
    <t>0,2000,300,0,0,1000,200,0,940,-315</t>
  </si>
  <si>
    <t>0,2500,600,2000,1500,1000,500,500,1115,-110</t>
  </si>
  <si>
    <t>0,2000,0,2000,1500,1000,400,0,890,-280</t>
  </si>
  <si>
    <t>0,2500,600,2000,1500,2000,400,500,1245,-10</t>
  </si>
  <si>
    <t>200,2500,600,2000,1500,1000,400,0,1045,-135</t>
  </si>
  <si>
    <t>0,3000,1200,2000,1500,1000,600,500,1140,-50</t>
  </si>
  <si>
    <t>0,1500,900,2000,1500,1000,600,500,1100,-95</t>
  </si>
  <si>
    <t>200,500,300,0,1500,1000,200,0,770,-425</t>
  </si>
  <si>
    <t>0,2000,300,0,0,0,200,0,815,-295</t>
  </si>
  <si>
    <t>400,2000,1200,2000,1500,1000,600,500,1210,-15</t>
  </si>
  <si>
    <t>0,3500,600,2000,1500,1000,400,500,1235,-50</t>
  </si>
  <si>
    <t>0,2500,600,0,1500,0,400,0,1195,-25</t>
  </si>
  <si>
    <t>0,3500,600,2000,1500,1000,500,500,1220,-5</t>
  </si>
  <si>
    <t>200,2500,300,2000,0,0,300,0,840,-175</t>
  </si>
  <si>
    <t>0,3500,900,0,3000,1000,500,0,1245,-40</t>
  </si>
  <si>
    <t>0,2000,1200,4000,1500,1000,400,500,1405,-65</t>
  </si>
  <si>
    <t>0,2500,300,2000,1500,2000,700,500,1330,-10</t>
  </si>
  <si>
    <t>0,4000,300,2000,1500,0,200,0,1085,-20</t>
  </si>
  <si>
    <t>0,2500,900,2000,1500,1000,300,500,990,-20</t>
  </si>
  <si>
    <t>0,1500,300,2000,0,0,300,0,670,-420</t>
  </si>
  <si>
    <t>0,2000,1500,2000,1500,1000,400,500,1170,-20</t>
  </si>
  <si>
    <t>200,2000,900,2000,0,1000,700,0,1115,-15</t>
  </si>
  <si>
    <t>0,3500,300,2000,1500,1000,500,500,1120,-5</t>
  </si>
  <si>
    <t>0,2500,600,2000,0,1000,200,0,1060,-145</t>
  </si>
  <si>
    <t>0,3000,600,2000,1500,1000,500,500,1295,-25</t>
  </si>
  <si>
    <t>0,2500,900,2000,0,1000,500,0,1045,-225</t>
  </si>
  <si>
    <t>0,2500,1500,2000,1500,1000,700,500,1460,-5</t>
  </si>
  <si>
    <t>0,2500,1500,0,1500,1000,500,0,1430,-70</t>
  </si>
  <si>
    <t>0,2500,900,2000,1500,1000,600,500,1255,-5</t>
  </si>
  <si>
    <t>200,3000,600,0,0,1000,400,0,1075,-195</t>
  </si>
  <si>
    <t>0,2000,600,2000,0,1000,400,0,855,-245</t>
  </si>
  <si>
    <t>0,3000,300,2000,1500,1000,600,500,1110,-85</t>
  </si>
  <si>
    <t>200,1000,600,0,1500,1000,300,0,820,-350</t>
  </si>
  <si>
    <t>0,3000,600,2000,1500,1000,500,500,1230,-60</t>
  </si>
  <si>
    <t>0,2500,300,0,0,0,100,0,805,-145</t>
  </si>
  <si>
    <t>400,2000,600,2000,1500,1000,300,500,1060,-105</t>
  </si>
  <si>
    <t>0,2500,600,2000,1500,1000,400,0,1005,-65</t>
  </si>
  <si>
    <t>0,3500,900,2000,1500,1000,800,500,1140,-65</t>
  </si>
  <si>
    <t>0,2500,1200,2000,1500,1000,1000,500,1420,-20</t>
  </si>
  <si>
    <t>200,2000,600,2000,1500,1000,0,0,1005,-145</t>
  </si>
  <si>
    <t>0,2000,900,2000,1500,1000,200,500,1065,-20</t>
  </si>
  <si>
    <t>200,2500,600,2000,0,1000,300,0,1055,-130</t>
  </si>
  <si>
    <t>0,1500,600,0,0,1000,300,0,780,-525</t>
  </si>
  <si>
    <t>0,1000,1500,2000,1500,1000,300,500,1180,-5</t>
  </si>
  <si>
    <t>0,1500,1200,0,1500,1000,500,0,1140,-40</t>
  </si>
  <si>
    <t>200,3000,600,2000,1500,1000,400,500,1105,-20</t>
  </si>
  <si>
    <t>0,2000,1200,2000,0,1000,500,0,1125,-250</t>
  </si>
  <si>
    <t>200,3000,600,2000,1500,1000,500,500,1095,-5</t>
  </si>
  <si>
    <t>0,2500,900,2000,1500,1000,600,500,1185,-10</t>
  </si>
  <si>
    <t>0,2000,900,0,1500,1000,300,0,1180,-30</t>
  </si>
  <si>
    <t>0,3500,600,2000,1500,1000,600,500,1210,-1035</t>
  </si>
  <si>
    <t>0,2500,900,0,0,1000,300,0,1175,-130</t>
  </si>
  <si>
    <t>200,3000,300,2000,0,1000,500,0,990,-255</t>
  </si>
  <si>
    <t>0,3000,600,2000,1500,1000,300,500,1200,-10</t>
  </si>
  <si>
    <t>200,3500,600,2000,1500,1000,500,500,1195,-10</t>
  </si>
  <si>
    <t>200,2000,900,2000,1500,1000,500,0,1275,-255</t>
  </si>
  <si>
    <t>200,3500,300,2000,1500,1000,800,500,930,-20</t>
  </si>
  <si>
    <t>0,1000,2100,0,1500,1000,300,0,1310,-20</t>
  </si>
  <si>
    <t>0,4000,300,2000,1500,2000,600,500,1300,-10</t>
  </si>
  <si>
    <t>0,2500,600,2000,0,0,0,500,920,-435</t>
  </si>
  <si>
    <t>200,2500,300,2000,1500,1000,500,500,1315,-10</t>
  </si>
  <si>
    <t>0,4000,300,0,1500,1000,500,0,1145,-30</t>
  </si>
  <si>
    <t>200,2000,300,2000,1500,1000,300,0,835,-195</t>
  </si>
  <si>
    <t>0,1500,1800,2000,1500,1000,500,500,1250,-5</t>
  </si>
  <si>
    <t>0,3000,600,2000,1500,1000,600,500,1195,-15</t>
  </si>
  <si>
    <t>0,2000,900,0,0,0,100,0,930,-275</t>
  </si>
  <si>
    <t>0,2500,900,2000,1500,0,400,0,990,-170</t>
  </si>
  <si>
    <t>0,3000,600,2000,1500,2000,600,500,1490,-10</t>
  </si>
  <si>
    <t>0,1000,300,2000,1500,1000,300,0,825,-520</t>
  </si>
  <si>
    <t>200,1500,600,2000,1500,1000,400,500,1060,-180</t>
  </si>
  <si>
    <t>0,2500,600,2000,1500,1000,500,500,1120,-20</t>
  </si>
  <si>
    <t>0,3000,300,2000,0,1000,500,0,1070,-45</t>
  </si>
  <si>
    <t>0,2000,1500,2000,1500,1000,900,0,1250,-30</t>
  </si>
  <si>
    <t>0,2000,1800,2000,1500,1000,200,500,1295,-10</t>
  </si>
  <si>
    <t>0,2000,600,2000,1500,1000,200,500,1285,-5</t>
  </si>
  <si>
    <t>0,2500,900,2000,0,1000,400,0,1005,-335</t>
  </si>
  <si>
    <t>0,3000,1200,0,1500,1000,500,0,1275,-35</t>
  </si>
  <si>
    <t>0,1500,1500,2000,1500,1000,500,500,1340,-5</t>
  </si>
  <si>
    <t>0,1500,300,2000,0,1000,300,0,930,-545</t>
  </si>
  <si>
    <t>200,1500,600,2000,1500,1000,200,500,970,-135</t>
  </si>
  <si>
    <t>0,1500,1200,2000,1500,1000,300,0,1175,-155</t>
  </si>
  <si>
    <t>0,3000,600,2000,1500,1000,600,500,1180,-20</t>
  </si>
  <si>
    <t>0,3000,300,2000,1500,1000,1000,0,1035,-160</t>
  </si>
  <si>
    <t>0,1500,1500,2000,1500,1000,100,500,1110,-20</t>
  </si>
  <si>
    <t>0,2500,300,0,0,1000,600,0,955,-290</t>
  </si>
  <si>
    <t>200,3000,1200,2000,1500,1000,300,500,1145,-45</t>
  </si>
  <si>
    <t>0,1500,300,2000,0,0,100,0,460,-325</t>
  </si>
  <si>
    <t>0,3000,600,2000,1500,1000,700,500,1160,-10</t>
  </si>
  <si>
    <t>0,3000,1200,2000,1500,1000,500,500,1255,-20</t>
  </si>
  <si>
    <t>0,3000,900,2000,1500,1000,500,0,1205,-10</t>
  </si>
  <si>
    <t>0,2000,0,2000,0,0,200,0,690,-420</t>
  </si>
  <si>
    <t>0,3000,300,2000,1500,2000,700,500,1270,-20</t>
  </si>
  <si>
    <t>0,2000,1200,0,1500,1000,500,0,1185,-45</t>
  </si>
  <si>
    <t>0,3500,600,2000,1500,1000,500,500,1360,-10</t>
  </si>
  <si>
    <t>0,500,300,2000,1500,1000,100,0,780,-490</t>
  </si>
  <si>
    <t>0,2000,900,2000,1500,1000,400,500,1055,-225</t>
  </si>
  <si>
    <t>0,3500,300,2000,1500,1000,700,500,1025,-105</t>
  </si>
  <si>
    <t>0,2500,1200,0,0,1000,300,0,1120,-60</t>
  </si>
  <si>
    <t>0,1500,900,2000,1500,1000,600,500,1145,-115</t>
  </si>
  <si>
    <t>0,3000,900,2000,0,1000,300,0,1225,-20</t>
  </si>
  <si>
    <t>0,2500,1800,2000,1500,2000,800,500,1520,-60</t>
  </si>
  <si>
    <t>0,2000,1500,2000,1500,0,100,0,1145,-45</t>
  </si>
  <si>
    <t>0,2500,900,2000,1500,1000,600,500,1185,-285</t>
  </si>
  <si>
    <t>0,3000,600,0,0,1000,400,0,955,-360</t>
  </si>
  <si>
    <t>0,2500,1500,2000,1500,1000,800,500,1235,-20</t>
  </si>
  <si>
    <t>0,3000,600,0,1500,1000,200,0,1290,-20</t>
  </si>
  <si>
    <t>0,2000,600,2000,1500,1000,500,0,940,-130</t>
  </si>
  <si>
    <t>0,2500,900,2000,1500,1000,200,500,1080,-20</t>
  </si>
  <si>
    <t>0,1500,600,0,1500,2000,400,0,970,-240</t>
  </si>
  <si>
    <t>0,2500,1200,2000,1500,1000,500,500,1345,-15</t>
  </si>
  <si>
    <t>0,2500,1200,2000,1500,1000,500,0,1140,-40</t>
  </si>
  <si>
    <t>0,2000,1500,2000,1500,1000,400,500,1160,-30</t>
  </si>
  <si>
    <t>0,2000,300,2000,0,1000,300,0,890,-280</t>
  </si>
  <si>
    <t>0,3500,600,2000,1500,1000,200,500,1070,-190</t>
  </si>
  <si>
    <t>0,3000,300,2000,1500,1000,200,500,1095,-30</t>
  </si>
  <si>
    <t>0,3000,900,2000,0,1000,200,0,1105,-25</t>
  </si>
  <si>
    <t>0,2000,300,2000,0,1000,100,0,735,-280</t>
  </si>
  <si>
    <t>0,2500,600,2000,1500,1000,700,500,1190,-60</t>
  </si>
  <si>
    <t>0,1000,1200,0,1500,1000,400,0,915,-345</t>
  </si>
  <si>
    <t>0,2500,300,2000,1500,1000,400,500,1080,-5</t>
  </si>
  <si>
    <t>0,1500,900,2000,1500,1000,400,500,955,-20</t>
  </si>
  <si>
    <t>0,500,0,0,0,0,0,500,425,-500</t>
  </si>
  <si>
    <t>0,3000,600,0,1500,1000,500,0,1060,-185</t>
  </si>
  <si>
    <t>0,2500,1200,2000,1500,1000,400,500,1235,-5</t>
  </si>
  <si>
    <t>0,500,1200,2000,1500,1000,100,500,990,-30</t>
  </si>
  <si>
    <t>0,4000,600,0,1500,1000,700,0,1140,-10</t>
  </si>
  <si>
    <t>0,2000,300,2000,1500,1000,500,500,875,-90</t>
  </si>
  <si>
    <t>200,1500,600,0,0,1000,200,0,875,-270</t>
  </si>
  <si>
    <t>0,2000,1200,2000,1500,1000,500,500,1160,-10</t>
  </si>
  <si>
    <t>0,3000,600,2000,0,1000,300,0,1195,-90</t>
  </si>
  <si>
    <t>0,4000,300,2000,0,1000,400,0,1045,-145</t>
  </si>
  <si>
    <t>0,2500,900,2000,1500,2000,600,500,1480,-15</t>
  </si>
  <si>
    <t>0,3000,600,4000,1500,1000,400,500,1110,-45</t>
  </si>
  <si>
    <t>0,2500,300,2000,1500,1000,500,0,1045,-20</t>
  </si>
  <si>
    <t>0,2500,300,2000,0,1000,100,0,885,-495</t>
  </si>
  <si>
    <t>200,2000,1200,2000,1500,1000,600,500,1195,-5</t>
  </si>
  <si>
    <t>0,2000,900,2000,1500,1000,200,500,1170,-5</t>
  </si>
  <si>
    <t>0,3000,900,0,1500,1000,600,0,1160,-15</t>
  </si>
  <si>
    <t>0,2500,600,4000,3000,0,400,0,1000,-30</t>
  </si>
  <si>
    <t>200,2500,1200,2000,1500,1000,600,500,1400,-20</t>
  </si>
  <si>
    <t>0,2000,300,2000,1500,1000,400,500,985,-205</t>
  </si>
  <si>
    <t>0,1500,900,0,0,1000,400,0,810,-235</t>
  </si>
  <si>
    <t>0,2500,600,2000,1500,1000,800,0,1175,-225</t>
  </si>
  <si>
    <t>0,3000,1200,2000,1500,1000,200,500,1320,-30</t>
  </si>
  <si>
    <t>0,2000,1200,0,1500,1000,500,0,1285,-80</t>
  </si>
  <si>
    <t>0,2500,600,2000,1500,1000,500,500,965,-165</t>
  </si>
  <si>
    <t>0,2500,900,2000,1500,1000,200,500,1120,-265</t>
  </si>
  <si>
    <t>0,3000,900,2000,0,1000,600,0,1185,-70</t>
  </si>
  <si>
    <t>200,1500,1200,2000,1500,1000,500,500,1195,-10</t>
  </si>
  <si>
    <t>0,3000,600,2000,1500,1000,400,0,1075,-30</t>
  </si>
  <si>
    <t>0,2500,0,0,1500,0,500,0,830,-300</t>
  </si>
  <si>
    <t>0,1500,900,2000,1500,1000,200,500,1085,-240</t>
  </si>
  <si>
    <t>0,2500,600,2000,1500,1000,500,0,1285,-355</t>
  </si>
  <si>
    <t>0,3500,1200,2000,1500,1000,500,500,1405,-20</t>
  </si>
  <si>
    <t>Total</t>
  </si>
  <si>
    <t>0,2500,0,0,1500,1000,300,0,770,-410</t>
  </si>
  <si>
    <t>0,2000,900,2000,1500,1000,600,500,1210,-20</t>
  </si>
  <si>
    <t>0,1500,300,0,1500,1000,400,0,855,-420</t>
  </si>
  <si>
    <t>0,2000,900,2000,1500,1000,200,500,1090,-50</t>
  </si>
  <si>
    <t>0,3500,600,2000,1500,1000,500,0,1305,-55</t>
  </si>
  <si>
    <t>0,3500,900,2000,1500,1000,300,500,1260,-20</t>
  </si>
  <si>
    <t>0,2500,900,2000,1500,1000,600,500,1180,-20</t>
  </si>
  <si>
    <t>0,1500,300,2000,1500,0,300,0,830,-340</t>
  </si>
  <si>
    <t>0,2000,1200,2000,1500,1000,600,500,1210,-10</t>
  </si>
  <si>
    <t>200,2000,1200,2000,1500,1000,300,0,1040,-45</t>
  </si>
  <si>
    <t>0,3500,600,2000,1500,1000,600,500,1080,-20</t>
  </si>
  <si>
    <t>0,2000,0,0,1500,2000,400,0,1045,-115</t>
  </si>
  <si>
    <t>0,1500,300,0,1500,0,0,1000,810,-495</t>
  </si>
  <si>
    <t>0,3000,900,2000,1500,1000,400,500,1150,-25</t>
  </si>
  <si>
    <t>0,2500,600,2000,1500,1000,600,500,985,-90</t>
  </si>
  <si>
    <t>0,2500,300,0,0,1000,0,0,855,-425</t>
  </si>
  <si>
    <t>0,3000,300,0,1500,1000,0,0,925,-20</t>
  </si>
  <si>
    <t>0,2000,1200,2000,1500,1000,700,500,1240,-20</t>
  </si>
  <si>
    <t>0,1500,1500,0,1500,1000,100,0,1245,-30</t>
  </si>
  <si>
    <t>0,3000,600,2000,1500,1000,700,500,1200,-25</t>
  </si>
  <si>
    <t>0,2500,1200,2000,1500,1000,300,500,1120,-190</t>
  </si>
  <si>
    <t>0,3000,300,2000,1500,0,300,0,1070,-270</t>
  </si>
  <si>
    <t>0,1000,300,2000,1500,1000,100,0,710,-375</t>
  </si>
  <si>
    <t>0,1500,900,2000,1500,1000,500,500,1245,-10</t>
  </si>
  <si>
    <t>0,2000,1500,2000,1500,1000,600,500,1360,-10</t>
  </si>
  <si>
    <t>0,2500,900,0,3000,1000,500,0,1275,-85</t>
  </si>
  <si>
    <t>200,2500,900,2000,1500,1000,300,500,1180,-10</t>
  </si>
  <si>
    <t>0,3000,600,2000,1500,1000,500,0,1075,-200</t>
  </si>
  <si>
    <t>0,4000,0,2000,0,0,600,0,20,-1140</t>
  </si>
  <si>
    <t>0,2000,1500,2000,1500,1000,300,500,5,-1135</t>
  </si>
  <si>
    <t>0,2000,2100,2000,1500,1000,400,0,1225,-10</t>
  </si>
  <si>
    <t>0,3000,1500,2000,1500,1000,600,500,1315,-10</t>
  </si>
  <si>
    <t>0,1500,1500,0,1500,1000,400,0,1115,-140</t>
  </si>
  <si>
    <t>200,2500,900,2000,1500,1000,400,500,1205,-20</t>
  </si>
  <si>
    <t>0,2500,600,2000,1500,1000,500,500,1155,-10</t>
  </si>
  <si>
    <t>0,3000,600,2000,1500,1000,300,0,1115,-10</t>
  </si>
  <si>
    <t>0,1000,1200,2000,1500,1000,400,0,970,-330</t>
  </si>
  <si>
    <t>0,2000,900,2000,1500,1000,300,500,1150,-5</t>
  </si>
  <si>
    <t>200,1500,1500,0,1500,1000,500,0,1085,-330</t>
  </si>
  <si>
    <t>0,3000,900,2000,1500,1000,600,500,1170,-5</t>
  </si>
  <si>
    <t>0,3500,900,2000,1500,1000,400,500,1195,-50</t>
  </si>
  <si>
    <t>0,2500,300,2000,0,1000,500,0,925,-180</t>
  </si>
  <si>
    <t>200,3000,600,2000,1500,1000,400,0,1065,-95</t>
  </si>
  <si>
    <t>0,2000,1500,2000,1500,1000,400,500,1065,-20</t>
  </si>
  <si>
    <t>0,2000,1800,2000,0,1000,400,0,1125,-30</t>
  </si>
  <si>
    <t>0,3500,600,4000,1500,1000,400,500,1165,-10</t>
  </si>
  <si>
    <t>0,2500,1200,2000,1500,1000,700,500,1435,-5</t>
  </si>
  <si>
    <t>0,2000,1200,2000,1500,1000,200,0,1025,-120</t>
  </si>
  <si>
    <t>0,2000,1800,2000,1500,1000,500,500,1225,-20</t>
  </si>
  <si>
    <t>0,1500,300,0,1500,1000,0,0,675,-460</t>
  </si>
  <si>
    <t>0,2000,1200,2000,1500,1000,600,500,1230,-10</t>
  </si>
  <si>
    <t>0,2500,0,2000,1500,1000,300,0,800,-460</t>
  </si>
  <si>
    <t>0,2000,900,0,1500,1000,400,0,1255,-40</t>
  </si>
  <si>
    <t>0,3500,600,2000,1500,1000,400,500,955,-45</t>
  </si>
  <si>
    <t>0,2500,900,2000,0,1000,500,0,1240,-50</t>
  </si>
  <si>
    <t>0,3000,600,2000,1500,1000,700,500,1370,-5</t>
  </si>
  <si>
    <t>0,1500,900,2000,1500,1000,500,0,1030,-155</t>
  </si>
  <si>
    <t>0,3000,600,2000,1500,1000,500,500,1065,-15</t>
  </si>
  <si>
    <t>0,3000,300,0,1500,1000,500,0,850,-370</t>
  </si>
  <si>
    <t>0,2000,1200,2000,1500,1000,400,500,1175,-120</t>
  </si>
  <si>
    <t>0,1000,0,0,1500,1000,400,0,805,-395</t>
  </si>
  <si>
    <t>0,2500,600,2000,1500,1000,400,500,1095,-55</t>
  </si>
  <si>
    <t>0,500,600,0,0,1000,200,0,800,-340</t>
  </si>
  <si>
    <t>0,3000,600,2000,1500,1000,300,500,1175,-5</t>
  </si>
  <si>
    <t>0,3500,300,2000,1500,1000,500,0,1145,-15</t>
  </si>
  <si>
    <t>0,2000,1800,2000,1500,1000,300,500,1315,-5</t>
  </si>
  <si>
    <t>0,3500,900,2000,1500,0,700,0,970,-80</t>
  </si>
  <si>
    <t>0,2500,1200,2000,1500,1000,100,500,1180,-30</t>
  </si>
  <si>
    <t>0,2000,1200,2000,1500,1000,400,0,1145,-115</t>
  </si>
  <si>
    <t>0,2500,600,2000,1500,1000,500,500,970,-225</t>
  </si>
  <si>
    <t>0,2500,900,0,1500,1000,300,0,1230,-25</t>
  </si>
  <si>
    <t>0,4000,600,4000,1500,1000,600,0,1160,-50</t>
  </si>
  <si>
    <t>0,1500,900,2000,1500,1000,300,500,880,-30</t>
  </si>
  <si>
    <t>200,2500,600,0,1500,1000,300,0,1025,-105</t>
  </si>
  <si>
    <t>0,3000,300,2000,0,0,300,0,920,-170</t>
  </si>
  <si>
    <t>0,1000,1500,2000,1500,1000,600,500,1275,-20</t>
  </si>
  <si>
    <t>0,2500,900,4000,1500,1000,400,500,1125,-30</t>
  </si>
  <si>
    <t>0,3500,600,0,1500,1000,500,0,1265,-70</t>
  </si>
  <si>
    <t>0,2000,600,2000,0,1000,500,0,900,-620</t>
  </si>
  <si>
    <t>0,2000,900,2000,3000,1000,100,500,1045,-20</t>
  </si>
  <si>
    <t>0,1500,1500,2000,1500,1000,600,500,1100,-5</t>
  </si>
  <si>
    <t>0,2500,0,0,1500,1000,200,0,755,-290</t>
  </si>
  <si>
    <t>0,2500,900,2000,1500,1000,700,500,1230,-10</t>
  </si>
  <si>
    <t>0,2000,600,2000,1500,1000,100,0,965,-160</t>
  </si>
  <si>
    <t>0,3000,900,0,0,1000,900,0,1210,-345</t>
  </si>
  <si>
    <t>0,2500,1200,2000,3000,1000,300,500,1225,-10</t>
  </si>
  <si>
    <t>0,3500,900,0,1500,1000,600,0,0,-25</t>
  </si>
  <si>
    <t>200,2000,1200,4000,1500,1000,500,500,0,-15</t>
  </si>
  <si>
    <t>0,500,300,2000,1500,0,300,0,600,-465</t>
  </si>
  <si>
    <t>0,1500,900,2000,1500,1000,400,500,1130,-5</t>
  </si>
  <si>
    <t>0,1500,1500,2000,1500,1000,500,500,1285,-60</t>
  </si>
  <si>
    <t>0,2500,600,2000,1500,0,400,0,1025,-20</t>
  </si>
  <si>
    <t>0,2500,1200,2000,1500,1000,300,500,1170,-15</t>
  </si>
  <si>
    <t>0,1000,600,2000,1500,1000,300,0,855,-190</t>
  </si>
  <si>
    <t>0,2500,600,2000,1500,1000,300,500,1080,-45</t>
  </si>
  <si>
    <t>0,3500,600,2000,1500,0,300,0,900,-50</t>
  </si>
  <si>
    <t>0,2000,300,0,0,0,500,0,595,-550</t>
  </si>
  <si>
    <t>0,1000,600,2000,1500,1000,500,500,830,-115</t>
  </si>
  <si>
    <t>0,2000,900,2000,1500,1000,400,0,1265,-90</t>
  </si>
  <si>
    <t>0,4000,600,2000,1500,1000,500,500,1245,-20</t>
  </si>
  <si>
    <t>0,3000,900,2000,0,1000,700,0,1145,-15</t>
  </si>
  <si>
    <t>0,2500,600,2000,1500,1000,300,500,1250,-10</t>
  </si>
  <si>
    <t>0,1500,300,0,0,1000,400,0,775,-490</t>
  </si>
  <si>
    <t>0,1500,900,2000,1500,1000,300,500,1040,-15</t>
  </si>
  <si>
    <t>0,2500,600,0,1500,1000,400,0,895,-205</t>
  </si>
  <si>
    <t>200,1500,1200,2000,1500,1000,400,500,1120,-230</t>
  </si>
  <si>
    <t>0,2000,300,0,0,1000,400,0,0,-365</t>
  </si>
  <si>
    <t>0,3000,300,2000,1500,1000,400,500,0,-15</t>
  </si>
  <si>
    <t>0,2500,600,2000,1500,1000,500,0,1225,-125</t>
  </si>
  <si>
    <t>0,3000,900,2000,1500,1000,400,500,1170,-10</t>
  </si>
  <si>
    <t>0,2500,1200,2000,1500,1000,600,500,1265,-5</t>
  </si>
  <si>
    <t>0,2500,1500,2000,0,2000,400,0,1310,-30</t>
  </si>
  <si>
    <t>200,2500,1500,0,1500,2000,900,0,1605,-40</t>
  </si>
  <si>
    <t>0,3000,900,4000,3000,1000,300,500,1360,-5</t>
  </si>
  <si>
    <t>0,1000,1500,2000,1500,1000,800,0,1105,-145</t>
  </si>
  <si>
    <t>0,2500,600,2000,1500,1000,300,500,1185,-5</t>
  </si>
  <si>
    <t>0,1500,1200,2000,1500,1000,500,500,0,-120</t>
  </si>
  <si>
    <t>0,4000,300,0,1500,1000,0,0,0,-40</t>
  </si>
  <si>
    <t>0,1500,1200,2000,1500,1000,500,500,1090,-120</t>
  </si>
  <si>
    <t>0,4000,300,0,1500,1000,400,0,1075,-40</t>
  </si>
  <si>
    <t>0,2500,300,2000,1500,1000,400,500,980,-130</t>
  </si>
  <si>
    <t>0,2500,1200,0,1500,1000,300,0,1110,-80</t>
  </si>
  <si>
    <t>0,2000,1200,2000,1500,1000,300,500,945,-120</t>
  </si>
  <si>
    <t>0,2500,0,2000,1500,1000,600,0,945,-210</t>
  </si>
  <si>
    <t>0,2000,300,2000,1500,1000,400,0,1040,-325</t>
  </si>
  <si>
    <t>0,3000,600,2000,1500,1000,400,500,1140,-215</t>
  </si>
  <si>
    <t>0,3000,600,2000,1500,1000,200,500,1020,-30</t>
  </si>
  <si>
    <t>0,2500,300,0,1500,1000,400,0,1135,-110</t>
  </si>
  <si>
    <t>0,1500,900,0,1500,0,300,0,0,-445</t>
  </si>
  <si>
    <t>0,2000,900,2000,1500,1000,600,500,0,-40</t>
  </si>
  <si>
    <t>0,2000,600,0,1500,1000,400,0,895,-155</t>
  </si>
  <si>
    <t>200,2000,1200,2000,1500,1000,400,500,1205,-40</t>
  </si>
  <si>
    <t>0,3500,600,2000,1500,1000,700,500,1235,-115</t>
  </si>
  <si>
    <t>0,3000,900,0,1500,1000,300,0,1320,-30</t>
  </si>
  <si>
    <t>0,3000,600,2000,1500,1000,300,500,1065,-40</t>
  </si>
  <si>
    <t>200,3000,300,0,0,1000,700,0,900,-335</t>
  </si>
  <si>
    <t>0,3000,300,2000,0,1000,400,0,1075,-270</t>
  </si>
  <si>
    <t>200,3000,600,2000,1500,1000,500,500,1055,-5</t>
  </si>
  <si>
    <t>0,3000,300,2000,1500,1000,400,0,945,-135</t>
  </si>
  <si>
    <t>200,3000,600,2000,1500,1000,600,500,1145,-15</t>
  </si>
  <si>
    <t>0,2500,600,2000,1500,1000,500,500,1115,-25</t>
  </si>
  <si>
    <t>0,1500,300,2000,0,2000,200,0,900,-405</t>
  </si>
  <si>
    <t>0,3000,900,2000,1500,1000,400,500,1250,-5</t>
  </si>
  <si>
    <t>0,3500,600,0,1500,1000,500,0,1040,-205</t>
  </si>
  <si>
    <t>200,0,0,0,0,0,0,0,0,0</t>
  </si>
  <si>
    <t>0,3000,600,2000,1500,1000,500,500,1190,-10</t>
  </si>
  <si>
    <t>0,3000,900,0,1500,1000,500,0,1075,-290</t>
  </si>
  <si>
    <t>0,3000,1200,2000,0,1000,500,0,1290,-35</t>
  </si>
  <si>
    <t>0,3000,600,2000,1500,1000,500,500,1205,-10</t>
  </si>
  <si>
    <t>0,2000,1200,0,1500,1000,400,0,1200,-155</t>
  </si>
  <si>
    <t>0,2500,900,2000,1500,1000,100,500,1130,-35</t>
  </si>
  <si>
    <t>0,2000,600,2000,1500,1000,500,500,0,0</t>
  </si>
  <si>
    <t>0,1000,0,2000,1500,1000,200,0,0,0</t>
  </si>
  <si>
    <t>0,2500,900,2000,1500,2000,400,500,1430,-20</t>
  </si>
  <si>
    <t>0,3500,1500,2000,1500,0,700,0,1245,-25</t>
  </si>
  <si>
    <t>0,3000,600,2000,1500,1000,300,500,1140,-30</t>
  </si>
  <si>
    <t>0,3000,900,0,1500,1000,400,0,1220,-195</t>
  </si>
  <si>
    <t>0,1500,300,0,0,0,300,0,755,-330</t>
  </si>
  <si>
    <t>200,1500,600,2000,1500,1000,100,500,1080,-120</t>
  </si>
  <si>
    <t>0,500,600,2000,1500,1000,300,0,0,0</t>
  </si>
  <si>
    <t>0,2500,1500,2000,1500,1000,700,500,0,0</t>
  </si>
  <si>
    <t>200,2000,300,2000,1500,1000,100,0,770,-170</t>
  </si>
  <si>
    <t>0,3000,600,2000,1500,1000,600,500,1015,-30</t>
  </si>
  <si>
    <t>0,3500,900,2000,0,1000,400,0,1195,-25</t>
  </si>
  <si>
    <t>0,2000,1500,2000,3000,1000,600,500,1225,-5</t>
  </si>
  <si>
    <t>0,2000,300,0,1500,1000,300,0,0,0</t>
  </si>
  <si>
    <t>0,2500,600,2000,1500,1000,500,500,0,-5</t>
  </si>
  <si>
    <t>0,3500,600,4000,1500,1000,700,500,1385,-5</t>
  </si>
  <si>
    <t>0,2500,900,2000,1500,2000,500,0,1285,-190</t>
  </si>
  <si>
    <t>0,2500,1200,2000,0,0,400,0,865,-245</t>
  </si>
  <si>
    <t>200,3000,900,2000,1500,1000,600,500,1185,-10</t>
  </si>
  <si>
    <t>0,2000,900,2000,1500,1000,200,500,1195,-15</t>
  </si>
  <si>
    <t>0,2000,300,0,1500,1000,300,0,830,-380</t>
  </si>
  <si>
    <t>0,1500,300,2000,0,0,200,0,0,0</t>
  </si>
  <si>
    <t>0,3000,900,2000,1500,1000,800,500,0,0</t>
  </si>
  <si>
    <t>0,2500,600,2000,1500,1000,400,0,975,-315</t>
  </si>
  <si>
    <t>0,3500,600,2000,1500,1000,300,500,1170,-5</t>
  </si>
  <si>
    <t>0,3000,600,2000,1500,1000,500,500,1115,-30</t>
  </si>
  <si>
    <t>0,2500,300,2000,0,1000,200,0,925,-255</t>
  </si>
  <si>
    <t>0,2500,900,2000,1500,1000,200,500,1185,-70</t>
  </si>
  <si>
    <t>0,2500,600,2000,0,1000,500,0,1080,-175</t>
  </si>
  <si>
    <t>0,2500,900,2000,1500,1000,400,500,1050,-10</t>
  </si>
  <si>
    <t>0,2500,300,0,1500,1000,200,0,1035,-100</t>
  </si>
  <si>
    <t>0,2500,300,2000,0,0,300,0,820,-380</t>
  </si>
  <si>
    <t>0,3000,900,2000,1500,1000,500,500,1015,-30</t>
  </si>
  <si>
    <t>0,1500,1500,0,1500,1000,800,0,1185,-80</t>
  </si>
  <si>
    <t>0,3000,600,2000,1500,1000,200,500,1090,-10</t>
  </si>
  <si>
    <t>0,2000,1200,2000,1500,1000,600,0,1060,-130</t>
  </si>
  <si>
    <t>0,2000,1200,2000,1500,1000,500,500,1235,-5</t>
  </si>
  <si>
    <t>0,2500,1200,2000,1500,1000,600,500,1115,-5</t>
  </si>
  <si>
    <t>0,2500,1200,0,1500,1000,500,0,1325,-15</t>
  </si>
  <si>
    <t>0,1500,0,2000,1500,1000,200,0,675,-405</t>
  </si>
  <si>
    <t>0,2500,900,2000,1500,1000,700,500,1095,-75</t>
  </si>
  <si>
    <t>0,2500,900,2000,3000,1000,500,500,0,-5</t>
  </si>
  <si>
    <t>0,2500,1800,0,1500,0,100,2000,0,-20</t>
  </si>
  <si>
    <t>0,1500,900,2000,1500,1000,400,0,1090,-190</t>
  </si>
  <si>
    <t>0,3000,600,2000,1500,1000,400,500,1025,-30</t>
  </si>
  <si>
    <t>0,2500,300,2000,1500,1000,300,500,1355,-5</t>
  </si>
  <si>
    <t>200,3500,300,0,1500,1000,500,0,1015,-50</t>
  </si>
  <si>
    <t>0,1500,600,2000,0,0,400,0,770,-405</t>
  </si>
  <si>
    <t>0,1500,900,2000,1500,1000,300,500,1090,-3</t>
  </si>
  <si>
    <t>0,3000,600,2000,3000,1000,300,500,1180,-35</t>
  </si>
  <si>
    <t>0,2500,300,2000,0,2000,300,0,1225,-205</t>
  </si>
  <si>
    <t>0,2000,900,2000,1500,1000,300,0,1005,-165</t>
  </si>
  <si>
    <t>0,2500,900,2000,1500,1000,300,500,995,-185</t>
  </si>
  <si>
    <t>0,4000,600,2000,1500,1000,500,500,0,-20</t>
  </si>
  <si>
    <t>0,3000,1500,2000,0,1000,400,0,0,-10</t>
  </si>
  <si>
    <t>0,2500,300,2000,0,1000,500,0,865,-185</t>
  </si>
  <si>
    <t>0,2000,900,2000,1500,1000,400,500,1125,-5</t>
  </si>
  <si>
    <t>0,2000,600,2000,1500,1000,0,500,1005,-25</t>
  </si>
  <si>
    <t>0,2500,300,0,0,1000,300,0,910,-315</t>
  </si>
  <si>
    <t>0,2500,1500,2000,1500,1000,300,500,1170,-25</t>
  </si>
  <si>
    <t>0,3000,600,2000,0,1000,600,0,1065,-20</t>
  </si>
  <si>
    <t>0,1500,1800,0,1500,1000,800,0,0,0</t>
  </si>
  <si>
    <t>0,2500,900,2000,1500,1000,100,500,0,0</t>
  </si>
  <si>
    <t>200,2000,600,2000,0,1000,400,0,945,-420</t>
  </si>
  <si>
    <t>0,3500,900,2000,1500,1000,400,500,1110,-10</t>
  </si>
  <si>
    <t>0,1500,300,0,1500,1000,0,0,910,-175</t>
  </si>
  <si>
    <t>0,2500,300,2000,1500,1000,300,500,950,-10</t>
  </si>
  <si>
    <t>0,2000,1800,0,1500,1000,400,0,0,0</t>
  </si>
  <si>
    <t>0,2000,0,2000,0,1000,600,0,725,-395</t>
  </si>
  <si>
    <t>0,1000,1800,2000,1500,1000,300,500,1240,-20</t>
  </si>
  <si>
    <t>0,2000,300,2000,1500,1000,200,500,1020,-25</t>
  </si>
  <si>
    <t>0,1000,300,0,0,1000,300,0,845,-365</t>
  </si>
  <si>
    <t>0,3000,900,2000,1500,1000,500,500,1295,-10</t>
  </si>
  <si>
    <t>0,3000,600,0,1500,1000,500,0,1075,-20</t>
  </si>
  <si>
    <t>0,500,900,2000,1500,1000,400,0,665,-345</t>
  </si>
  <si>
    <t>0,3500,300,2000,1500,1000,700,500,1060,-10</t>
  </si>
  <si>
    <t>0,2500,900,2000,1500,1000,600,500,1115,-30</t>
  </si>
  <si>
    <t>0,3000,300,2000,0,0,100,0,850,-185</t>
  </si>
  <si>
    <t>0,3000,600,2000,1500,1000,500,500,1230,-20</t>
  </si>
  <si>
    <t>0,2000,1500,0,1500,1000,300,0,1105,-15</t>
  </si>
  <si>
    <t>0,1000,300,0,1500,0,0,0,0,-420</t>
  </si>
  <si>
    <t>0,2000,600,2000,1500,1000,100,500,1090,-10</t>
  </si>
  <si>
    <t>200,3000,600,2000,0,1000,400,0,1105,-20</t>
  </si>
  <si>
    <t>0,3000,900,2000,1500,1000,800,500,1210,-25</t>
  </si>
  <si>
    <t>0,3000,600,0,1500,1000,100,0,1000,-60</t>
  </si>
  <si>
    <t>0,2000,900,2000,1500,1000,400,0,1065,-180</t>
  </si>
  <si>
    <t>0,2500,600,2000,1500,1000,400,500,1085,-10</t>
  </si>
  <si>
    <t>0,3000,300,0,0,0,100,0,0,0</t>
  </si>
  <si>
    <t>0,2500,900,2000,1500,1000,400,500,0,0</t>
  </si>
  <si>
    <t>0,3500,600,2000,1500,1000,600,500,1335,-30</t>
  </si>
  <si>
    <t>0,2000,600,2000,1500,1000,100,0,1035,-290</t>
  </si>
  <si>
    <t>0,2500,600,2000,1500,1000,200,500,1055,-30</t>
  </si>
  <si>
    <t>0,1000,600,2000,1500,1000,400,0,920,-130</t>
  </si>
  <si>
    <t>0,1000,300,2000,1500,0,400,0,750,-185</t>
  </si>
  <si>
    <t>0,2000,900,2000,1500,1000,400,500,1075,-20</t>
  </si>
  <si>
    <t>200,2500,600,0,1500,1000,0,0,930,-130</t>
  </si>
  <si>
    <t>0,2000,1500,2000,1500,1000,700,500,1250,-20</t>
  </si>
  <si>
    <t>0,3500,600,4000,1500,1000,600,500,1125,-5</t>
  </si>
  <si>
    <t>0,3500,600,0,1500,1000,600,0,1230,-60</t>
  </si>
  <si>
    <t>0,2500,600,4000,1500,1000,500,500,1150,-60</t>
  </si>
  <si>
    <t>0,3000,900,0,1500,1000,700,0,1350,-10</t>
  </si>
  <si>
    <t>0,4000,600,0,1500,2000,700,0,0,0</t>
  </si>
  <si>
    <t>0,2500,1500,4000,1500,1000,400,500,0,0</t>
  </si>
  <si>
    <t>0,500,300,0,0,0,200,0,635,-635</t>
  </si>
  <si>
    <t>0,2500,300,4000,1500,1000,400,500,1140,-105</t>
  </si>
  <si>
    <t>0,2500,300,2000,1500,1000,700,500,1035,-25</t>
  </si>
  <si>
    <t>0,1500,300,2000,0,1000,400,0,900,-355</t>
  </si>
  <si>
    <t>0,2000,1200,2000,1500,1000,200,0,1205,-50</t>
  </si>
  <si>
    <t>0,2000,1800,2000,1500,1000,600,500,1375,-5</t>
  </si>
  <si>
    <t>0,1000,300,0,1500,0,300,0,660,-410</t>
  </si>
  <si>
    <t>0,2500,900,2000,1500,1000,400,500,1150,-195</t>
  </si>
  <si>
    <t>0,2500,900,2000,1500,1000,600,500,1240,-10</t>
  </si>
  <si>
    <t>0,3000,600,2000,0,0,400,0,1215,-10</t>
  </si>
  <si>
    <t>0,3000,600,2000,1500,1000,600,500,1155,-10</t>
  </si>
  <si>
    <t>0,2000,600,0,0,1000,400,0,1100,-220</t>
  </si>
  <si>
    <t>0,3000,300,2000,1500,1000,700,0,950,-195</t>
  </si>
  <si>
    <t>0,2000,600,2000,1500,1000,100,500,1100,-180</t>
  </si>
  <si>
    <t>0,3500,300,2000,0,1000,500,0,915,-45</t>
  </si>
  <si>
    <t>0,2000,300,2000,1500,1000,200,500,1045,-15</t>
  </si>
  <si>
    <t>0,3500,600,2000,1500,0,500,0,910,-115</t>
  </si>
  <si>
    <t>0,2500,1500,2000,1500,1000,700,500,1385,-5</t>
  </si>
  <si>
    <t>0,2000,900,2000,1500,1000,500,500,0,-20</t>
  </si>
  <si>
    <t>0,1500,300,2000,1500,0,200,0,0,-365</t>
  </si>
  <si>
    <t>0,1500,300,2000,1500,0,200,0,945,-290</t>
  </si>
  <si>
    <t>0,3000,300,2000,1500,1000,200,500,1145,-25</t>
  </si>
  <si>
    <t>0,3000,1200,2000,3000,0,500,0,1175,-30</t>
  </si>
  <si>
    <t>0,3500,900,2000,1500,2000,600,500,1525,-20</t>
  </si>
  <si>
    <t>0,2500,600,2000,1500,1000,300,500,1115,-30</t>
  </si>
  <si>
    <t>0,2500,300,0,1500,1000,400,0,845,-265</t>
  </si>
  <si>
    <t>0,2500,600,2000,1500,1000,200,0,1160,-40</t>
  </si>
  <si>
    <t>0,2500,600,2000,1500,1000,700,500,1095,-10</t>
  </si>
  <si>
    <t>0,2500,900,2000,1500,1000,200,500,1230,-10</t>
  </si>
  <si>
    <t>0,1500,900,2000,1500,1000,600,0,1035,-240</t>
  </si>
  <si>
    <t>0,3000,600,2000,1500,0,600,0,0,0</t>
  </si>
  <si>
    <t>0,2000,1200,2000,1500,1000,300,500,0,0</t>
  </si>
  <si>
    <t>0,2000,1200,2000,1500,1000,500,500,1025,-40</t>
  </si>
  <si>
    <t>200,2000,300,2000,1500,0,300,0,995,-355</t>
  </si>
  <si>
    <t>0,2000,900,0,0,0,500,0,680,-460</t>
  </si>
  <si>
    <t>0,1500,900,2000,1500,1000,200,500,960,-25</t>
  </si>
  <si>
    <t>200,2000,900,2000,1500,1000,200,0,1005,-15</t>
  </si>
  <si>
    <t>0,3000,1200,2000,1500,1000,500,500,1175,-35</t>
  </si>
  <si>
    <t>0,2000,600,2000,1500,1000,400,0,1,-1</t>
  </si>
  <si>
    <t>0,3000,900,2000,1500,1000,400,500,0,0</t>
  </si>
  <si>
    <t>0,3500,300,2000,1500,1000,500,500,1150,-30</t>
  </si>
  <si>
    <t>0,2000,1500,2000,0,1000,500,0,1355,-40</t>
  </si>
  <si>
    <t>0,2500,900,2000,1500,1000,700,500,1170,-10</t>
  </si>
  <si>
    <t>0,2000,900,2000,0,1000,500,0,1055,-175</t>
  </si>
  <si>
    <t>0,2500,300,2000,1500,1000,300,500,0,0</t>
  </si>
  <si>
    <t>0,2000,1200,0,1500,1000,700,0,0,0</t>
  </si>
  <si>
    <t>0,3500,600,2000,1500,1000,500,500,1150,-5</t>
  </si>
  <si>
    <t>0,3000,600,2000,0,1000,400,0,1255,-55</t>
  </si>
  <si>
    <t>0,3000,900,2000,1500,1000,600,500,1075,-30</t>
  </si>
  <si>
    <t>0,1000,600,2000,1500,0,400,0,815,-225</t>
  </si>
  <si>
    <t>0,1000,1200,2000,1500,1000,600,0,0,-160</t>
  </si>
  <si>
    <t>0,2500,600,2000,1500,1000,100,500,0,-25</t>
  </si>
  <si>
    <t>0,3500,300,2000,1500,1000,400,500,1210,-5</t>
  </si>
  <si>
    <t>0,2000,600,2000,1500,1000,500,0,1175,-150</t>
  </si>
  <si>
    <t>0,2000,300,2000,0,0,300,0,690,-490</t>
  </si>
  <si>
    <t>0,1500,300,2000,1500,1000,300,500,985,-120</t>
  </si>
  <si>
    <t>0,1500,900,2000,1500,1000,200,0,1080,-130</t>
  </si>
  <si>
    <t>0,2500,900,2000,1500,1000,600,500,1135,-20</t>
  </si>
  <si>
    <t>0,2000,1500,2000,1500,1000,600,500,0,-5</t>
  </si>
  <si>
    <t>0,3500,1500,0,1500,1000,300,0,0,-50</t>
  </si>
  <si>
    <t>0,2500,600,2000,1500,1000,500,500,1200,-35</t>
  </si>
  <si>
    <t>0,2000,1500,2000,0,1000,200,0,1220,-30</t>
  </si>
  <si>
    <t>200,4500,300,2000,1500,1000,500,0,970,-35</t>
  </si>
  <si>
    <t>0,3500,300,2000,1500,2000,500,500,1300,-30</t>
  </si>
  <si>
    <t>0,3000,600,2000,1500,2000,700,500,1240,-20</t>
  </si>
  <si>
    <t>0,3000,600,0,1500,1000,200,0,1160,-15</t>
  </si>
  <si>
    <t>0,2500,600,2000,0,1000,300,0,1005,-310</t>
  </si>
  <si>
    <t>200,2500,1200,2000,1500,1000,400,500,1265,-5</t>
  </si>
  <si>
    <t>0,3000,600,0,1500,1000,200,0,1225,-50</t>
  </si>
  <si>
    <t>0,2500,1200,2000,1500,1000,700,500,1265,-40</t>
  </si>
  <si>
    <t>0,2500,900,2000,1500,1000,100,500,1105,-20</t>
  </si>
  <si>
    <t>0,2000,300,2000,0,1000,400,0,1085,-175</t>
  </si>
  <si>
    <t>0,2000,1500,2000,1500,1000,400,500,1305,-10</t>
  </si>
  <si>
    <t>0,2500,300,0,1500,1000,400,0,910,-365</t>
  </si>
  <si>
    <t>0,2500,900,2000,0,1000,400,0,5,-15</t>
  </si>
  <si>
    <t>0,2000,1500,2000,1500,1000,500,500,5,-40</t>
  </si>
  <si>
    <t>0,2000,600,2000,1500,1000,200,500,990,-100</t>
  </si>
  <si>
    <t>0,2500,300,2000,1500,1000,300,0,870,-250</t>
  </si>
  <si>
    <t>0,1500,300,2000,1500,0,400,0,755,-285</t>
  </si>
  <si>
    <t>0,2000,1200,2000,1500,1000,200,500,1205,-10</t>
  </si>
  <si>
    <t>0,2500,600,2000,1500,1000,400,500,1130,-120</t>
  </si>
  <si>
    <t>0,2500,600,0,0,0,400,0,880,-210</t>
  </si>
  <si>
    <t>0,2000,900,2000,1500,0,300,0,0,-160</t>
  </si>
  <si>
    <t>0,3000,0,2000,1500,0,300,0,910,-155</t>
  </si>
  <si>
    <t>0,2000,600,2000,1500,1000,400,500,955,-135</t>
  </si>
  <si>
    <t>0,3000,600,2000,1500,1000,500,500,1160,-30</t>
  </si>
  <si>
    <t>0,2500,300,2000,1500,0,300,0,995,-140</t>
  </si>
  <si>
    <t>0,1500,900,2000,1500,1000,200,500,960,-115</t>
  </si>
  <si>
    <t>0,3500,600,0,1500,1000,200,0,1075,-105</t>
  </si>
  <si>
    <t>0,4000,300,2000,1500,1000,600,500,0,0</t>
  </si>
  <si>
    <t>0,1000,300,0,0,0,200,0,665,-375</t>
  </si>
  <si>
    <t>0,1000,1200,2000,1500,1000,500,500,1110,-25</t>
  </si>
  <si>
    <t>0,1000,600,2000,1500,1000,300,0,930,-210</t>
  </si>
  <si>
    <t>0,3000,600,2000,1500,1000,200,500,1085,-40</t>
  </si>
  <si>
    <t>0,3000,600,2000,1500,1000,300,500,1255,-5</t>
  </si>
  <si>
    <t>0,1500,1200,2000,1500,1000,500,0,1140,-10</t>
  </si>
  <si>
    <t>0,2000,300,2000,0,0,600,0,0,0</t>
  </si>
  <si>
    <t>0,3000,300,2000,1500,1000,500,500,0,0</t>
  </si>
  <si>
    <t>0,3000,600,2000,1500,0,300,0,860,-175</t>
  </si>
  <si>
    <t>0,2500,1200,2000,1500,1000,400,500,1100,-30</t>
  </si>
  <si>
    <t>0,2500,900,2000,1500,1000,200,500,1195,-35</t>
  </si>
  <si>
    <t>200,0,300,0,1500,1000,300,0,690,-285</t>
  </si>
  <si>
    <t>0,2500,900,2000,1500,1000,400,500,1200,-10</t>
  </si>
  <si>
    <t>0,4000,600,2000,1500,0,200,0,1180,-15</t>
  </si>
  <si>
    <t>0,3000,900,4000,1500,1000,600,500,1095,-65</t>
  </si>
  <si>
    <t>0,1500,300,0,1500,1000,100,0,760,-575</t>
  </si>
  <si>
    <t>0,2500,1200,2000,0,1000,300,0,1045,-40</t>
  </si>
  <si>
    <t>0,3000,600,2000,1500,1000,500,500,1060,-10</t>
  </si>
  <si>
    <t>0,1500,600,2000,1500,1000,0,0,975,-260</t>
  </si>
  <si>
    <t>0,3500,900,2000,1500,1000,900,500,1180,-20</t>
  </si>
  <si>
    <t>0,2500,600,2000,1500,1000,400,500,0,0</t>
  </si>
  <si>
    <t>0,1500,900,2000,1500,1000,500,0,0,0</t>
  </si>
  <si>
    <t>0,1500,1200,4000,1500,1000,100,0,1195,-85</t>
  </si>
  <si>
    <t>0,2500,1500,2000,1500,1000,600,500,1250,-10</t>
  </si>
  <si>
    <t>0,2500,900,2000,1500,1000,400,500,1075,-5</t>
  </si>
  <si>
    <t>0,2000,1500,0,1500,1000,300,0,1340,-25</t>
  </si>
  <si>
    <t>0,500,600,0,0,1000,500,0,870,-450</t>
  </si>
  <si>
    <t>0,2500,600,2000,1500,1000,200,500,1100,-35</t>
  </si>
  <si>
    <t>200,1500,1500,2000,1500,1000,400,500,0,0</t>
  </si>
  <si>
    <t>0,3000,900,2000,1500,1000,500,0,0,0</t>
  </si>
  <si>
    <t>0,3000,600,2000,0,1000,400,0,1120,-25</t>
  </si>
  <si>
    <t>0,2000,1200,2000,1500,1000,500,500,1315,-10</t>
  </si>
  <si>
    <t>0,2000,300,2000,1500,0,200,0,740,-250</t>
  </si>
  <si>
    <t>200,2000,1500,2000,1500,1000,700,500,1325,-5</t>
  </si>
  <si>
    <t>0,3000,1200,2000,1500,1000,500,500,1250,-45</t>
  </si>
  <si>
    <t>0,2500,900,2000,1500,1000,600,0,1210,-140</t>
  </si>
  <si>
    <t>0,2000,900,2000,1500,1000,300,500,0,0</t>
  </si>
  <si>
    <t>0,2500,600,2000,1500,1000,700,0,0,0</t>
  </si>
  <si>
    <t>0,1500,600,0,0,1000,200,0,815,-435</t>
  </si>
  <si>
    <t>0,2000,600,2000,1500,1000,300,500,1130,-60</t>
  </si>
  <si>
    <t>0,2000,1500,2000,1500,1000,300,500,1200,-5</t>
  </si>
  <si>
    <t>0,2000,600,2000,0,1000,400,0,1080,-310</t>
  </si>
  <si>
    <t>0,2000,1200,0,1500,1000,300,0,1185,-50</t>
  </si>
  <si>
    <t>0,2000,1200,2000,1500,1000,600,500,1120,-40</t>
  </si>
  <si>
    <t>0,500,300,0,1500,0,100,0,0,0</t>
  </si>
  <si>
    <t>0,3500,300,0,1500,1000,500,0,1080,-40</t>
  </si>
  <si>
    <t>0,2500,1200,2000,1500,1000,600,500,1225,-5</t>
  </si>
  <si>
    <t>0,1500,300,0,0,0,300,0,0,-550</t>
  </si>
  <si>
    <t>0,3000,900,2000,1500,1000,300,500,0,-20</t>
  </si>
  <si>
    <t>0,3500,600,2000,1500,1000,500,500,1075,-20</t>
  </si>
  <si>
    <t>0,1500,1200,2000,1500,1000,100,0,1145,-30</t>
  </si>
  <si>
    <t>0,1000,300,2000,1500,0,200,0,765,-420</t>
  </si>
  <si>
    <t>200,2000,600,2000,1500,1000,600,500,1175,-10</t>
  </si>
  <si>
    <t>0,500,300,0,0,0,200,0,0,-325</t>
  </si>
  <si>
    <t>0,3000,600,2000,1500,1000,300,500,0,-10</t>
  </si>
  <si>
    <t>0,3000,900,2000,1500,1000,600,500,1245,-10</t>
  </si>
  <si>
    <t>0,3000,600,0,1500,1000,400,0,1115,-30</t>
  </si>
  <si>
    <t>0,2000,600,2000,1500,1000,300,0,1080,-105</t>
  </si>
  <si>
    <t>0,3000,600,2000,1500,1000,700,500,1200,-40</t>
  </si>
  <si>
    <t>0,2000,1200,0,1500,1000,200,0,1205,-30</t>
  </si>
  <si>
    <t>0,3000,1200,2000,1500,1000,700,500,1270,-10</t>
  </si>
  <si>
    <t>0,1500,1200,2000,1500,1000,500,500,0,-5</t>
  </si>
  <si>
    <t>0,3000,300,2000,1500,0,400,0,0,-265</t>
  </si>
  <si>
    <t>0,2000,900,2000,1500,1000,300,500,1135,-20</t>
  </si>
  <si>
    <t>0,2500,300,0,1500,0,400,0,1005,-130</t>
  </si>
  <si>
    <t>0,2000,1500,2000,3000,1000,500,500,0,0</t>
  </si>
  <si>
    <t>0,2500,1500,2000,0,1000,700,0,0,0</t>
  </si>
  <si>
    <t>0,0,300,0,1500,1000,100,0,630,-680</t>
  </si>
  <si>
    <t>0,2000,1200,2000,1500,1000,500,500,1060,-15</t>
  </si>
  <si>
    <t>0,2000,900,2000,1500,1000,600,0,1165,-15</t>
  </si>
  <si>
    <t>0,2500,1500,2000,1500,1000,400,500,1165,-10</t>
  </si>
  <si>
    <t>0,2000,1500,0,0,1000,500,0,0,0</t>
  </si>
  <si>
    <t>0,3000,900,2000,1500,1000,500,500,0,0</t>
  </si>
  <si>
    <t>0,3500,300,2000,1500,1000,300,500,1095,-40</t>
  </si>
  <si>
    <t>0,2500,600,2000,1500,1000,500,0,1240,-15</t>
  </si>
  <si>
    <t>0,2500,900,2000,1500,1000,600,500,1180,-5</t>
  </si>
  <si>
    <t>0,2000,900,2000,1500,1000,300,0,1140,-210</t>
  </si>
  <si>
    <t>0,1000,1500,2000,1500,1000,700,500,0,0</t>
  </si>
  <si>
    <t>0,3000,300,0,1500,0,200,0,0,0</t>
  </si>
  <si>
    <t>0,3000,600,2000,1500,0,300,0,1060,-45</t>
  </si>
  <si>
    <t>0,3500,900,2000,1500,1000,600,500,1170,-20</t>
  </si>
  <si>
    <t>0,2500,900,2000,1500,1000,500,500,1135,-20</t>
  </si>
  <si>
    <t>0,1500,300,2000,1500,1000,100,0,935,-350</t>
  </si>
  <si>
    <t>0,3500,900,2000,3000,1000,200,500,1405,-20</t>
  </si>
  <si>
    <t>0,3000,900,4000,1500,0,300,0,1255,-20</t>
  </si>
  <si>
    <t>0,2000,1800,0,1500,1000,700,0,1420,-45</t>
  </si>
  <si>
    <t>0,2000,1500,2000,1500,1000,400,500,1220,-175</t>
  </si>
  <si>
    <t>200,3000,600,2000,1500,1000,200,0,1220,-30</t>
  </si>
  <si>
    <t>0,3500,900,2000,1500,1000,300,500,1370,-100</t>
  </si>
  <si>
    <t>0,2000,900,2000,1500,1000,500,500,1245,-110</t>
  </si>
  <si>
    <t>0,1500,300,2000,0,0,400,0,620,-405</t>
  </si>
  <si>
    <t>0,2000,1200,2000,3000,1000,300,500,0,-120</t>
  </si>
  <si>
    <t>0,2000,1200,2000,0,1000,600,0,0,-40</t>
  </si>
  <si>
    <t>0,3000,900,0,0,1000,500,0,1255,-70</t>
  </si>
  <si>
    <t>0,1500,1200,2000,1500,1000,200,500,990,-110</t>
  </si>
  <si>
    <t>0,3000,900,2000,1500,1000,400,500,1050,-45</t>
  </si>
  <si>
    <t>0,500,2400,2000,1500,1000,300,0,1325,-50</t>
  </si>
  <si>
    <t>0,1500,600,0,0,0,500,0,885,-440</t>
  </si>
  <si>
    <t>0,1500,1200,2000,1500,1000,300,500,1045,-5</t>
  </si>
  <si>
    <t>0,3500,600,2000,1500,1000,500,500,0,0</t>
  </si>
  <si>
    <t>0,2000,1500,0,1500,1000,500,0,0,0</t>
  </si>
  <si>
    <t>0,1500,300,0,1500,1000,100,0,835,-555</t>
  </si>
  <si>
    <t>0,3500,300,2000,1500,1000,600,500,1080,-15</t>
  </si>
  <si>
    <t>0,2000,1200,2000,0,1000,200,0,1115,-130</t>
  </si>
  <si>
    <t>0,3500,600,2000,1500,1000,400,500,1145,-20</t>
  </si>
  <si>
    <t>0,2500,1500,2000,1500,1000,800,500,1265,-5</t>
  </si>
  <si>
    <t>0,3000,600,2000,0,1000,300,0,1295,-25</t>
  </si>
  <si>
    <t>0,2500,1200,4000,1500,1000,500,0,0,0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</si>
</sst>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0" tint="-0.2499465926084170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  <xf numFmtId="0" fontId="1" fillId="0" borderId="0" xfId="0" applyFont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0" fontId="0" fillId="3" borderId="0" xfId="0" applyFill="1" applyProtection="1">
      <protection locked="0"/>
    </xf>
    <xf numFmtId="0" fontId="1" fillId="0" borderId="0" xfId="0" applyFont="1" applyAlignment="1">
      <alignment horizontal="right"/>
    </xf>
    <xf numFmtId="0" fontId="1" fillId="0" borderId="0" xfId="0" applyFont="1"/>
    <xf numFmtId="0" fontId="1" fillId="4" borderId="0" xfId="0" applyFont="1" applyFill="1"/>
    <xf numFmtId="0" fontId="0" fillId="2" borderId="0" xfId="0" applyFill="1"/>
    <xf numFmtId="0" fontId="0" fillId="3" borderId="0" xfId="0" applyFill="1"/>
    <xf numFmtId="0" fontId="1" fillId="4" borderId="0" xfId="0" applyFont="1" applyFill="1" applyAlignment="1">
      <alignment horizontal="right"/>
    </xf>
    <xf numFmtId="0" fontId="0" fillId="4" borderId="0" xfId="0" applyFill="1"/>
    <xf numFmtId="14" fontId="0" fillId="0" borderId="0" xfId="0" applyNumberFormat="1"/>
    <xf numFmtId="0" fontId="1" fillId="4" borderId="0" xfId="0" applyFont="1" applyFill="1" applyAlignment="1">
      <alignment horizontal="center"/>
    </xf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0" xfId="0" applyProtection="1">
      <protection locked="0"/>
    </xf>
    <xf numFmtId="0" fontId="1" fillId="0" borderId="0" xfId="0" applyFont="1" applyAlignment="1" applyProtection="1">
      <alignment horizontal="right"/>
      <protection locked="0"/>
    </xf>
    <xf numFmtId="0" fontId="0" fillId="4" borderId="0" xfId="0" applyFill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3" borderId="0" xfId="0" quotePrefix="1" applyFill="1" applyProtection="1">
      <protection locked="0"/>
    </xf>
    <xf numFmtId="0" fontId="1" fillId="4" borderId="0" xfId="0" applyFont="1" applyFill="1" applyAlignment="1">
      <alignment horizontal="center"/>
    </xf>
    <xf numFmtId="0" fontId="1" fillId="0" borderId="0" xfId="0" applyFont="1" applyAlignment="1" applyProtection="1">
      <alignment horizontal="right"/>
    </xf>
    <xf numFmtId="0" fontId="0" fillId="2" borderId="0" xfId="0" applyFill="1" applyProtection="1"/>
    <xf numFmtId="0" fontId="0" fillId="3" borderId="0" xfId="0" applyFill="1" applyProtection="1"/>
    <xf numFmtId="0" fontId="0" fillId="0" borderId="0" xfId="0" applyProtection="1"/>
    <xf numFmtId="0" fontId="0" fillId="4" borderId="0" xfId="0" applyFill="1" applyProtection="1"/>
    <xf numFmtId="0" fontId="0" fillId="0" borderId="0" xfId="0" applyAlignment="1" applyProtection="1">
      <alignment horizontal="right"/>
    </xf>
  </cellXfs>
  <cellStyles count="1">
    <cellStyle name="Normal" xfId="0" builtinId="0"/>
  </cellStyles>
  <dxfs count="436"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  <dxf>
      <fill>
        <patternFill>
          <bgColor rgb="FFCCECFF"/>
        </patternFill>
      </fill>
    </dxf>
    <dxf>
      <fill>
        <patternFill>
          <bgColor rgb="FFFFCCFF"/>
        </patternFill>
      </fill>
    </dxf>
  </dxfs>
  <tableStyles count="0" defaultTableStyle="TableStyleMedium9" defaultPivotStyle="PivotStyleLight16"/>
  <colors>
    <mruColors>
      <color rgb="FFCCECFF"/>
      <color rgb="FFC4FFFF"/>
      <color rgb="FFFFCCFF"/>
      <color rgb="FFFF99FF"/>
      <color rgb="FFFF0066"/>
      <color rgb="FFFFC4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198437</xdr:colOff>
      <xdr:row>16</xdr:row>
      <xdr:rowOff>77151</xdr:rowOff>
    </xdr:from>
    <xdr:to>
      <xdr:col>11</xdr:col>
      <xdr:colOff>539749</xdr:colOff>
      <xdr:row>17</xdr:row>
      <xdr:rowOff>103187</xdr:rowOff>
    </xdr:to>
    <xdr:sp macro="[0]!Module3.new_gam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643437" y="2934651"/>
          <a:ext cx="2008187" cy="21653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record and start new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K171"/>
  <sheetViews>
    <sheetView showRowColHeaders="0" tabSelected="1" zoomScale="160" zoomScaleNormal="160" workbookViewId="0">
      <selection activeCell="E25" sqref="E25"/>
    </sheetView>
  </sheetViews>
  <sheetFormatPr baseColWidth="10" defaultColWidth="0" defaultRowHeight="15" x14ac:dyDescent="0.2"/>
  <cols>
    <col min="1" max="3" width="8.83203125" customWidth="1"/>
    <col min="4" max="4" width="2.33203125" customWidth="1"/>
    <col min="5" max="5" width="8.83203125" customWidth="1"/>
    <col min="6" max="6" width="9.5" customWidth="1"/>
    <col min="7" max="7" width="2.33203125" customWidth="1"/>
    <col min="8" max="8" width="8.83203125" customWidth="1"/>
    <col min="9" max="9" width="10.1640625" customWidth="1"/>
    <col min="10" max="10" width="2.83203125" customWidth="1"/>
    <col min="11" max="12" width="8.83203125" customWidth="1"/>
    <col min="13" max="13" width="3" style="12" customWidth="1"/>
    <col min="14" max="37" width="3.5" hidden="1" customWidth="1"/>
    <col min="38" max="16384" width="10.83203125" hidden="1"/>
  </cols>
  <sheetData>
    <row r="1" spans="1:14" x14ac:dyDescent="0.2">
      <c r="B1" s="3" t="s">
        <v>7</v>
      </c>
      <c r="C1" s="3" t="s">
        <v>8</v>
      </c>
      <c r="D1" s="2"/>
      <c r="E1" s="2" t="str">
        <f>$B1</f>
        <v>girls</v>
      </c>
      <c r="F1" s="2" t="str">
        <f>$C1</f>
        <v>guys</v>
      </c>
      <c r="G1" s="2"/>
      <c r="H1" s="2" t="str">
        <f>$B1</f>
        <v>girls</v>
      </c>
      <c r="I1" s="2" t="str">
        <f>$C1</f>
        <v>guys</v>
      </c>
      <c r="J1" s="2"/>
      <c r="K1" s="2" t="str">
        <f>$B1</f>
        <v>girls</v>
      </c>
      <c r="L1" s="2" t="str">
        <f>$C1</f>
        <v>guys</v>
      </c>
      <c r="M1" s="14"/>
      <c r="N1" s="2"/>
    </row>
    <row r="2" spans="1:14" x14ac:dyDescent="0.2">
      <c r="A2" s="6" t="str">
        <f>Scoring!A2</f>
        <v>meld</v>
      </c>
      <c r="B2" s="9">
        <f>Scoring!D2</f>
        <v>50</v>
      </c>
      <c r="C2" s="10">
        <f>Scoring!E2</f>
        <v>50</v>
      </c>
      <c r="E2" s="9" t="str">
        <f>Scoring!G2</f>
        <v/>
      </c>
      <c r="F2" s="10" t="str">
        <f>Scoring!H2</f>
        <v/>
      </c>
      <c r="H2" s="9" t="str">
        <f>Scoring!J2</f>
        <v/>
      </c>
      <c r="I2" s="10" t="str">
        <f>Scoring!K2</f>
        <v/>
      </c>
      <c r="K2" s="9" t="str">
        <f>Scoring!M2</f>
        <v/>
      </c>
      <c r="L2" s="10" t="str">
        <f>Scoring!N2</f>
        <v/>
      </c>
    </row>
    <row r="3" spans="1:14" x14ac:dyDescent="0.2">
      <c r="A3" s="6" t="str">
        <f>Scoring!A3</f>
        <v>deal</v>
      </c>
      <c r="B3" s="4"/>
      <c r="C3" s="5"/>
      <c r="E3" s="4"/>
      <c r="F3" s="5"/>
      <c r="H3" s="4"/>
      <c r="I3" s="5"/>
      <c r="K3" s="4"/>
      <c r="L3" s="5"/>
    </row>
    <row r="4" spans="1:14" x14ac:dyDescent="0.2">
      <c r="A4" s="6" t="str">
        <f>Scoring!A4</f>
        <v>clean</v>
      </c>
      <c r="B4" s="4"/>
      <c r="C4" s="5"/>
      <c r="E4" s="4"/>
      <c r="F4" s="5"/>
      <c r="H4" s="4"/>
      <c r="I4" s="5"/>
      <c r="K4" s="4"/>
      <c r="L4" s="5"/>
    </row>
    <row r="5" spans="1:14" x14ac:dyDescent="0.2">
      <c r="A5" s="6" t="str">
        <f>Scoring!A5</f>
        <v>dirty</v>
      </c>
      <c r="B5" s="4"/>
      <c r="C5" s="5"/>
      <c r="E5" s="4"/>
      <c r="F5" s="5"/>
      <c r="H5" s="4"/>
      <c r="I5" s="5"/>
      <c r="K5" s="4"/>
      <c r="L5" s="5"/>
    </row>
    <row r="6" spans="1:14" x14ac:dyDescent="0.2">
      <c r="A6" s="6" t="str">
        <f>Scoring!A6</f>
        <v>sevens</v>
      </c>
      <c r="B6" s="4"/>
      <c r="C6" s="5"/>
      <c r="E6" s="4"/>
      <c r="F6" s="5"/>
      <c r="H6" s="4"/>
      <c r="I6" s="5"/>
      <c r="K6" s="4"/>
      <c r="L6" s="5"/>
    </row>
    <row r="7" spans="1:14" x14ac:dyDescent="0.2">
      <c r="A7" s="6" t="str">
        <f>Scoring!A7</f>
        <v>fives</v>
      </c>
      <c r="B7" s="4"/>
      <c r="C7" s="5"/>
      <c r="E7" s="4"/>
      <c r="F7" s="5"/>
      <c r="H7" s="4"/>
      <c r="I7" s="5"/>
      <c r="K7" s="4"/>
      <c r="L7" s="5"/>
    </row>
    <row r="8" spans="1:14" x14ac:dyDescent="0.2">
      <c r="A8" s="6" t="str">
        <f>Scoring!A8</f>
        <v>wilds</v>
      </c>
      <c r="B8" s="4"/>
      <c r="C8" s="22"/>
      <c r="E8" s="4"/>
      <c r="F8" s="5"/>
      <c r="H8" s="4"/>
      <c r="I8" s="5"/>
      <c r="K8" s="4"/>
      <c r="L8" s="5"/>
    </row>
    <row r="9" spans="1:14" x14ac:dyDescent="0.2">
      <c r="A9" s="6" t="str">
        <f>Scoring!A9</f>
        <v>red3</v>
      </c>
      <c r="B9" s="4"/>
      <c r="C9" s="5"/>
      <c r="E9" s="4"/>
      <c r="F9" s="5"/>
      <c r="H9" s="4"/>
      <c r="I9" s="5"/>
      <c r="K9" s="4"/>
      <c r="L9" s="5"/>
    </row>
    <row r="10" spans="1:14" x14ac:dyDescent="0.2">
      <c r="A10" s="6" t="str">
        <f>Scoring!A10</f>
        <v>out</v>
      </c>
      <c r="B10" s="4"/>
      <c r="C10" s="5"/>
      <c r="E10" s="4"/>
      <c r="F10" s="5"/>
      <c r="H10" s="4"/>
      <c r="I10" s="5"/>
      <c r="K10" s="4"/>
      <c r="L10" s="5"/>
    </row>
    <row r="11" spans="1:14" x14ac:dyDescent="0.2">
      <c r="A11" s="6" t="str">
        <f>Scoring!A11</f>
        <v>count</v>
      </c>
      <c r="B11" s="4"/>
      <c r="C11" s="5"/>
      <c r="E11" s="4"/>
      <c r="F11" s="5"/>
      <c r="H11" s="4"/>
      <c r="I11" s="5"/>
      <c r="K11" s="4"/>
      <c r="L11" s="5"/>
    </row>
    <row r="12" spans="1:14" x14ac:dyDescent="0.2">
      <c r="A12" s="6" t="str">
        <f>Scoring!A12</f>
        <v>penalty</v>
      </c>
      <c r="B12" s="4"/>
      <c r="C12" s="5"/>
      <c r="E12" s="4"/>
      <c r="F12" s="5"/>
      <c r="H12" s="4"/>
      <c r="I12" s="5"/>
      <c r="K12" s="4"/>
      <c r="L12" s="5"/>
    </row>
    <row r="13" spans="1:14" x14ac:dyDescent="0.2">
      <c r="A13" s="7"/>
    </row>
    <row r="14" spans="1:14" x14ac:dyDescent="0.2">
      <c r="A14" s="6" t="s">
        <v>12</v>
      </c>
      <c r="B14" s="9">
        <f>SUM(Scoring!D3:D12)</f>
        <v>0</v>
      </c>
      <c r="C14" s="10">
        <f>SUM(Scoring!E3:E12)</f>
        <v>0</v>
      </c>
      <c r="E14" s="9">
        <f>SUM(Scoring!G3:G12)</f>
        <v>0</v>
      </c>
      <c r="F14" s="10">
        <f>SUM(Scoring!H3:H12)</f>
        <v>0</v>
      </c>
      <c r="H14" s="9">
        <f>SUM(Scoring!J3:J12)</f>
        <v>0</v>
      </c>
      <c r="I14" s="10">
        <f>SUM(Scoring!K3:K12)</f>
        <v>0</v>
      </c>
      <c r="K14" s="9">
        <f>SUM(Scoring!M3:M12)</f>
        <v>0</v>
      </c>
      <c r="L14" s="10">
        <f>SUM(Scoring!N3:N12)</f>
        <v>0</v>
      </c>
    </row>
    <row r="15" spans="1:14" x14ac:dyDescent="0.2">
      <c r="A15" s="6" t="s">
        <v>13</v>
      </c>
      <c r="B15" s="9" t="str">
        <f>IF(B14&gt;C14,B14-C14,"")</f>
        <v/>
      </c>
      <c r="C15" s="10" t="str">
        <f>IF(C14&gt;B14,C14-B14,"")</f>
        <v/>
      </c>
      <c r="E15" s="9" t="str">
        <f>IF(E14&gt;F14,E14-F14,"")</f>
        <v/>
      </c>
      <c r="F15" s="10" t="str">
        <f>IF(F14&gt;E14,F14-E14,"")</f>
        <v/>
      </c>
      <c r="H15" s="9" t="str">
        <f>IF(H14&gt;I14,H14-I14,"")</f>
        <v/>
      </c>
      <c r="I15" s="10" t="str">
        <f>IF(I14&gt;H14,I14-H14,"")</f>
        <v/>
      </c>
      <c r="K15" s="9" t="str">
        <f>IF(K14&gt;L14,K14-L14,"")</f>
        <v/>
      </c>
      <c r="L15" s="10" t="str">
        <f>IF(L14&gt;K14,L14-K14,"")</f>
        <v/>
      </c>
    </row>
    <row r="16" spans="1:14" x14ac:dyDescent="0.2">
      <c r="A16" s="8"/>
      <c r="B16" s="23" t="s">
        <v>14</v>
      </c>
      <c r="C16" s="23"/>
      <c r="D16" s="8"/>
      <c r="E16" s="23" t="s">
        <v>15</v>
      </c>
      <c r="F16" s="23"/>
      <c r="G16" s="8"/>
      <c r="H16" s="11" t="s">
        <v>16</v>
      </c>
      <c r="I16" s="12"/>
      <c r="J16" s="12"/>
      <c r="K16" s="12"/>
      <c r="L16" s="12"/>
    </row>
    <row r="17" spans="1:25" s="27" customFormat="1" x14ac:dyDescent="0.2">
      <c r="A17" s="24" t="str">
        <f>IF(B17&gt;C17,B$1,C$1)</f>
        <v>guys</v>
      </c>
      <c r="B17" s="25">
        <f>SUM(B14,E14,H14,K14)</f>
        <v>0</v>
      </c>
      <c r="C17" s="26">
        <f>SUM(C14,F14,I14,L14)</f>
        <v>0</v>
      </c>
      <c r="E17" s="25">
        <f>SUM(B9,E9,H9,K9)</f>
        <v>0</v>
      </c>
      <c r="F17" s="26">
        <f>SUM(C9,F9,I9,L9)</f>
        <v>0</v>
      </c>
      <c r="H17" s="24">
        <f>ABS(B17-C17)</f>
        <v>0</v>
      </c>
      <c r="M17" s="28"/>
      <c r="O17" s="27" t="str">
        <f>_xlfn.TEXTJOIN(",",FALSE,Scoring!D3:D12)</f>
        <v>0,0,0,0,0,0,0,0,0,0</v>
      </c>
      <c r="P17" s="27" t="str">
        <f>_xlfn.TEXTJOIN(",",FALSE,Scoring!E3:E12)</f>
        <v>0,0,0,0,0,0,0,0,0,0</v>
      </c>
      <c r="R17" s="27" t="str">
        <f>_xlfn.TEXTJOIN(",",FALSE,Scoring!G3:G12)</f>
        <v>0,0,0,0,0,0,0,0,0,0</v>
      </c>
      <c r="S17" s="27" t="str">
        <f>_xlfn.TEXTJOIN(",",FALSE,Scoring!H3:H12)</f>
        <v>0,0,0,0,0,0,0,0,0,0</v>
      </c>
      <c r="U17" s="27" t="str">
        <f>_xlfn.TEXTJOIN(",",FALSE,Scoring!J3:J12)</f>
        <v>0,0,0,0,0,0,0,0,0,0</v>
      </c>
      <c r="V17" s="27" t="str">
        <f>_xlfn.TEXTJOIN(",",FALSE,Scoring!K3:K12)</f>
        <v>0,0,0,0,0,0,0,0,0,0</v>
      </c>
      <c r="X17" s="27" t="str">
        <f>_xlfn.TEXTJOIN(",",FALSE,Scoring!M3:M12)</f>
        <v>0,0,0,0,0,0,0,0,0,0</v>
      </c>
      <c r="Y17" s="27" t="str">
        <f>_xlfn.TEXTJOIN(",",FALSE,Scoring!N3:N12)</f>
        <v>0,0,0,0,0,0,0,0,0,0</v>
      </c>
    </row>
    <row r="18" spans="1:25" s="27" customFormat="1" x14ac:dyDescent="0.2">
      <c r="A18" s="24" t="s">
        <v>320</v>
      </c>
      <c r="B18" s="25">
        <f>SUM(B92:B1070)</f>
        <v>0</v>
      </c>
      <c r="C18" s="26">
        <f>SUM(C92:C1070)</f>
        <v>0</v>
      </c>
      <c r="E18" s="25">
        <f t="shared" ref="E18:F18" si="0">SUM(E92:E1070)</f>
        <v>0</v>
      </c>
      <c r="F18" s="26">
        <f t="shared" si="0"/>
        <v>0</v>
      </c>
      <c r="H18" s="24">
        <f>ABS(B18-C18)</f>
        <v>0</v>
      </c>
      <c r="M18" s="28"/>
    </row>
    <row r="19" spans="1:25" s="27" customFormat="1" x14ac:dyDescent="0.2">
      <c r="A19" s="24" t="s">
        <v>17</v>
      </c>
      <c r="B19" s="29">
        <f>COUNTIF(A19:A437,"girls")</f>
        <v>0</v>
      </c>
      <c r="C19" s="29">
        <f>COUNTIF(A19:A437,"guys")</f>
        <v>1</v>
      </c>
      <c r="D19" s="29"/>
      <c r="E19" s="29">
        <f>COUNT(B58:B437)</f>
        <v>0</v>
      </c>
      <c r="F19" s="29"/>
      <c r="M19" s="28"/>
    </row>
    <row r="20" spans="1:25" s="18" customFormat="1" x14ac:dyDescent="0.2">
      <c r="A20" s="19"/>
      <c r="B20" s="21"/>
      <c r="C20" s="21"/>
      <c r="D20" s="21"/>
      <c r="E20" s="21"/>
      <c r="F20" s="21"/>
      <c r="M20" s="20"/>
    </row>
    <row r="21" spans="1:25" s="18" customFormat="1" x14ac:dyDescent="0.2">
      <c r="A21" s="6" t="s">
        <v>8</v>
      </c>
      <c r="B21">
        <v>0</v>
      </c>
      <c r="C21">
        <v>0</v>
      </c>
      <c r="D21"/>
      <c r="E21">
        <v>0</v>
      </c>
      <c r="F21">
        <v>0</v>
      </c>
      <c r="G21"/>
      <c r="H21" s="6">
        <v>0</v>
      </c>
      <c r="I21" s="13">
        <v>46313</v>
      </c>
      <c r="K21" s="18" t="s">
        <v>33</v>
      </c>
      <c r="M21" s="20"/>
      <c r="O21" s="18" t="s">
        <v>32</v>
      </c>
      <c r="P21" s="18" t="s">
        <v>32</v>
      </c>
      <c r="R21" s="18" t="s">
        <v>32</v>
      </c>
      <c r="S21" s="18" t="s">
        <v>32</v>
      </c>
      <c r="U21" s="18" t="s">
        <v>32</v>
      </c>
      <c r="V21" s="18" t="s">
        <v>32</v>
      </c>
      <c r="X21" s="18" t="s">
        <v>32</v>
      </c>
      <c r="Y21" s="18" t="s">
        <v>32</v>
      </c>
    </row>
    <row r="22" spans="1:25" s="18" customFormat="1" x14ac:dyDescent="0.2">
      <c r="A22" s="6"/>
      <c r="B22"/>
      <c r="C22"/>
      <c r="D22"/>
      <c r="E22"/>
      <c r="F22"/>
      <c r="G22"/>
      <c r="H22" s="6"/>
      <c r="I22" s="13"/>
      <c r="M22" s="20"/>
      <c r="O22" s="18" t="s">
        <v>767</v>
      </c>
      <c r="P22" s="18" t="s">
        <v>768</v>
      </c>
      <c r="R22" s="18" t="s">
        <v>769</v>
      </c>
      <c r="S22" s="18" t="s">
        <v>770</v>
      </c>
      <c r="U22" s="18" t="s">
        <v>771</v>
      </c>
      <c r="V22" s="18" t="s">
        <v>772</v>
      </c>
      <c r="X22" s="18" t="s">
        <v>773</v>
      </c>
      <c r="Y22" s="18" t="e">
        <v>#VALUE!</v>
      </c>
    </row>
    <row r="23" spans="1:25" s="18" customFormat="1" x14ac:dyDescent="0.2">
      <c r="A23" s="6"/>
      <c r="B23"/>
      <c r="C23"/>
      <c r="D23"/>
      <c r="E23"/>
      <c r="F23"/>
      <c r="G23"/>
      <c r="H23" s="6"/>
      <c r="I23" s="13"/>
      <c r="M23" s="20"/>
      <c r="O23" s="18" t="s">
        <v>759</v>
      </c>
      <c r="P23" s="18" t="s">
        <v>760</v>
      </c>
      <c r="R23" s="18" t="s">
        <v>761</v>
      </c>
      <c r="S23" s="18" t="s">
        <v>762</v>
      </c>
      <c r="U23" s="18" t="s">
        <v>763</v>
      </c>
      <c r="V23" s="18" t="s">
        <v>764</v>
      </c>
      <c r="X23" s="18" t="s">
        <v>765</v>
      </c>
      <c r="Y23" s="18" t="s">
        <v>766</v>
      </c>
    </row>
    <row r="24" spans="1:25" s="18" customFormat="1" x14ac:dyDescent="0.2">
      <c r="A24" s="6"/>
      <c r="B24"/>
      <c r="C24"/>
      <c r="D24"/>
      <c r="E24"/>
      <c r="F24"/>
      <c r="G24"/>
      <c r="H24" s="6"/>
      <c r="I24" s="13"/>
      <c r="M24" s="20"/>
      <c r="O24" s="18" t="s">
        <v>753</v>
      </c>
      <c r="P24" s="18" t="s">
        <v>754</v>
      </c>
      <c r="R24" s="18" t="s">
        <v>755</v>
      </c>
      <c r="S24" s="18" t="s">
        <v>756</v>
      </c>
      <c r="U24" s="18" t="s">
        <v>757</v>
      </c>
      <c r="V24" s="18" t="s">
        <v>758</v>
      </c>
      <c r="X24" s="18" t="s">
        <v>32</v>
      </c>
      <c r="Y24" s="18" t="s">
        <v>32</v>
      </c>
    </row>
    <row r="25" spans="1:25" s="18" customFormat="1" x14ac:dyDescent="0.2">
      <c r="A25" s="6"/>
      <c r="B25"/>
      <c r="C25"/>
      <c r="D25"/>
      <c r="E25"/>
      <c r="F25"/>
      <c r="G25"/>
      <c r="H25" s="6"/>
      <c r="I25" s="13"/>
      <c r="M25" s="20"/>
      <c r="O25" s="18" t="s">
        <v>745</v>
      </c>
      <c r="P25" s="18" t="s">
        <v>746</v>
      </c>
      <c r="R25" s="18" t="s">
        <v>747</v>
      </c>
      <c r="S25" s="18" t="s">
        <v>748</v>
      </c>
      <c r="U25" s="18" t="s">
        <v>749</v>
      </c>
      <c r="V25" s="18" t="s">
        <v>750</v>
      </c>
      <c r="X25" s="18" t="s">
        <v>751</v>
      </c>
      <c r="Y25" s="18" t="s">
        <v>752</v>
      </c>
    </row>
    <row r="26" spans="1:25" s="18" customFormat="1" x14ac:dyDescent="0.2">
      <c r="A26" s="6"/>
      <c r="B26"/>
      <c r="C26"/>
      <c r="D26"/>
      <c r="E26"/>
      <c r="F26"/>
      <c r="G26"/>
      <c r="H26" s="6"/>
      <c r="I26" s="13"/>
      <c r="M26" s="20"/>
      <c r="O26" s="18" t="s">
        <v>739</v>
      </c>
      <c r="P26" s="18" t="s">
        <v>740</v>
      </c>
      <c r="R26" s="18" t="s">
        <v>741</v>
      </c>
      <c r="S26" s="18" t="s">
        <v>742</v>
      </c>
      <c r="U26" s="18" t="s">
        <v>743</v>
      </c>
      <c r="V26" s="18" t="s">
        <v>744</v>
      </c>
      <c r="X26" s="18" t="s">
        <v>32</v>
      </c>
      <c r="Y26" s="18" t="s">
        <v>32</v>
      </c>
    </row>
    <row r="27" spans="1:25" s="18" customFormat="1" x14ac:dyDescent="0.2">
      <c r="A27" s="6"/>
      <c r="B27"/>
      <c r="C27"/>
      <c r="D27"/>
      <c r="E27"/>
      <c r="F27"/>
      <c r="G27"/>
      <c r="H27" s="6"/>
      <c r="I27" s="13"/>
      <c r="M27" s="20"/>
      <c r="O27" s="18" t="s">
        <v>733</v>
      </c>
      <c r="P27" s="18" t="s">
        <v>734</v>
      </c>
      <c r="R27" s="18" t="s">
        <v>735</v>
      </c>
      <c r="S27" s="18" t="s">
        <v>736</v>
      </c>
      <c r="U27" s="18" t="s">
        <v>737</v>
      </c>
      <c r="V27" s="18" t="s">
        <v>738</v>
      </c>
      <c r="X27" s="18" t="s">
        <v>32</v>
      </c>
      <c r="Y27" s="18" t="s">
        <v>32</v>
      </c>
    </row>
    <row r="28" spans="1:25" s="18" customFormat="1" x14ac:dyDescent="0.2">
      <c r="A28" s="6"/>
      <c r="B28"/>
      <c r="C28"/>
      <c r="D28"/>
      <c r="E28"/>
      <c r="F28"/>
      <c r="G28"/>
      <c r="H28" s="6"/>
      <c r="I28" s="13"/>
      <c r="M28" s="20"/>
      <c r="O28" s="18" t="s">
        <v>729</v>
      </c>
      <c r="P28" s="18" t="s">
        <v>730</v>
      </c>
      <c r="R28" s="18" t="s">
        <v>731</v>
      </c>
      <c r="S28" s="18" t="s">
        <v>732</v>
      </c>
      <c r="U28" s="18" t="s">
        <v>32</v>
      </c>
      <c r="V28" s="18" t="s">
        <v>32</v>
      </c>
      <c r="X28" s="18" t="s">
        <v>32</v>
      </c>
      <c r="Y28" s="18" t="s">
        <v>32</v>
      </c>
    </row>
    <row r="29" spans="1:25" s="18" customFormat="1" x14ac:dyDescent="0.2">
      <c r="A29" s="6"/>
      <c r="B29"/>
      <c r="C29"/>
      <c r="D29"/>
      <c r="E29"/>
      <c r="F29"/>
      <c r="G29"/>
      <c r="H29" s="6"/>
      <c r="I29" s="13"/>
      <c r="M29" s="20"/>
      <c r="O29" s="18" t="s">
        <v>721</v>
      </c>
      <c r="P29" s="18" t="s">
        <v>722</v>
      </c>
      <c r="R29" s="18" t="s">
        <v>723</v>
      </c>
      <c r="S29" s="18" t="s">
        <v>724</v>
      </c>
      <c r="U29" s="18" t="s">
        <v>725</v>
      </c>
      <c r="V29" s="18" t="s">
        <v>726</v>
      </c>
      <c r="X29" s="18" t="s">
        <v>727</v>
      </c>
      <c r="Y29" s="18" t="s">
        <v>728</v>
      </c>
    </row>
    <row r="30" spans="1:25" s="18" customFormat="1" x14ac:dyDescent="0.2">
      <c r="A30" s="6"/>
      <c r="B30"/>
      <c r="C30"/>
      <c r="D30"/>
      <c r="E30"/>
      <c r="F30"/>
      <c r="G30"/>
      <c r="H30" s="6"/>
      <c r="I30" s="13"/>
      <c r="M30" s="20"/>
      <c r="O30" s="18" t="s">
        <v>715</v>
      </c>
      <c r="P30" s="18" t="s">
        <v>716</v>
      </c>
      <c r="R30" s="18" t="s">
        <v>717</v>
      </c>
      <c r="S30" s="18" t="s">
        <v>718</v>
      </c>
      <c r="U30" s="18" t="s">
        <v>719</v>
      </c>
      <c r="V30" s="18" t="s">
        <v>720</v>
      </c>
      <c r="X30" s="18" t="s">
        <v>32</v>
      </c>
      <c r="Y30" s="18" t="s">
        <v>32</v>
      </c>
    </row>
    <row r="31" spans="1:25" s="18" customFormat="1" x14ac:dyDescent="0.2">
      <c r="A31" s="6"/>
      <c r="B31"/>
      <c r="C31"/>
      <c r="D31"/>
      <c r="E31"/>
      <c r="F31"/>
      <c r="G31"/>
      <c r="H31" s="6"/>
      <c r="I31" s="13"/>
      <c r="M31" s="20"/>
      <c r="O31" s="18" t="s">
        <v>711</v>
      </c>
      <c r="P31" s="18" t="s">
        <v>712</v>
      </c>
      <c r="R31" s="18" t="s">
        <v>713</v>
      </c>
      <c r="S31" s="18" t="s">
        <v>714</v>
      </c>
      <c r="U31" s="18" t="s">
        <v>32</v>
      </c>
      <c r="V31" s="18" t="s">
        <v>32</v>
      </c>
      <c r="X31" s="18" t="s">
        <v>32</v>
      </c>
      <c r="Y31" s="18" t="s">
        <v>32</v>
      </c>
    </row>
    <row r="32" spans="1:25" s="18" customFormat="1" x14ac:dyDescent="0.2">
      <c r="A32" s="6"/>
      <c r="B32"/>
      <c r="C32"/>
      <c r="D32"/>
      <c r="E32"/>
      <c r="F32"/>
      <c r="G32"/>
      <c r="H32" s="6"/>
      <c r="I32" s="13"/>
      <c r="M32" s="20"/>
      <c r="O32" s="18" t="s">
        <v>704</v>
      </c>
      <c r="P32" s="18" t="s">
        <v>705</v>
      </c>
      <c r="R32" s="18" t="s">
        <v>706</v>
      </c>
      <c r="S32" s="18" t="s">
        <v>707</v>
      </c>
      <c r="U32" s="18" t="s">
        <v>708</v>
      </c>
      <c r="V32" s="18" t="s">
        <v>709</v>
      </c>
      <c r="X32" s="18" t="s">
        <v>710</v>
      </c>
      <c r="Y32" s="18" t="s">
        <v>702</v>
      </c>
    </row>
    <row r="33" spans="1:25" s="18" customFormat="1" x14ac:dyDescent="0.2">
      <c r="A33" s="6"/>
      <c r="B33"/>
      <c r="C33"/>
      <c r="D33"/>
      <c r="E33"/>
      <c r="F33"/>
      <c r="G33"/>
      <c r="H33" s="6"/>
      <c r="I33" s="13"/>
      <c r="M33" s="20"/>
      <c r="O33" s="18" t="s">
        <v>696</v>
      </c>
      <c r="P33" s="18" t="s">
        <v>697</v>
      </c>
      <c r="R33" s="18" t="s">
        <v>698</v>
      </c>
      <c r="S33" s="18" t="s">
        <v>699</v>
      </c>
      <c r="U33" s="18" t="s">
        <v>700</v>
      </c>
      <c r="V33" s="18" t="s">
        <v>701</v>
      </c>
      <c r="X33" s="18" t="s">
        <v>702</v>
      </c>
      <c r="Y33" s="18" t="s">
        <v>703</v>
      </c>
    </row>
    <row r="34" spans="1:25" s="18" customFormat="1" x14ac:dyDescent="0.2">
      <c r="A34" s="6"/>
      <c r="B34"/>
      <c r="C34"/>
      <c r="D34"/>
      <c r="E34"/>
      <c r="F34"/>
      <c r="G34"/>
      <c r="H34" s="6"/>
      <c r="I34" s="13"/>
      <c r="M34" s="20"/>
      <c r="O34" s="18" t="s">
        <v>688</v>
      </c>
      <c r="P34" s="18" t="s">
        <v>689</v>
      </c>
      <c r="R34" s="18" t="s">
        <v>690</v>
      </c>
      <c r="S34" s="18" t="s">
        <v>691</v>
      </c>
      <c r="U34" s="18" t="s">
        <v>692</v>
      </c>
      <c r="V34" s="18" t="s">
        <v>693</v>
      </c>
      <c r="X34" s="18" t="s">
        <v>694</v>
      </c>
      <c r="Y34" s="18" t="s">
        <v>695</v>
      </c>
    </row>
    <row r="35" spans="1:25" s="18" customFormat="1" x14ac:dyDescent="0.2">
      <c r="A35" s="6"/>
      <c r="B35"/>
      <c r="C35"/>
      <c r="D35"/>
      <c r="E35"/>
      <c r="F35"/>
      <c r="G35"/>
      <c r="H35" s="6"/>
      <c r="I35" s="13"/>
      <c r="M35" s="20"/>
      <c r="O35" s="18" t="s">
        <v>680</v>
      </c>
      <c r="P35" s="18" t="s">
        <v>681</v>
      </c>
      <c r="R35" s="18" t="s">
        <v>682</v>
      </c>
      <c r="S35" s="18" t="s">
        <v>683</v>
      </c>
      <c r="U35" s="18" t="s">
        <v>684</v>
      </c>
      <c r="V35" s="18" t="s">
        <v>685</v>
      </c>
      <c r="X35" s="18" t="s">
        <v>686</v>
      </c>
      <c r="Y35" s="18" t="s">
        <v>687</v>
      </c>
    </row>
    <row r="36" spans="1:25" s="18" customFormat="1" x14ac:dyDescent="0.2">
      <c r="A36" s="6"/>
      <c r="B36"/>
      <c r="C36"/>
      <c r="D36"/>
      <c r="E36"/>
      <c r="F36"/>
      <c r="G36"/>
      <c r="H36" s="6"/>
      <c r="I36" s="13"/>
      <c r="M36" s="20"/>
      <c r="O36" s="18" t="s">
        <v>674</v>
      </c>
      <c r="P36" s="18" t="s">
        <v>675</v>
      </c>
      <c r="R36" s="18" t="s">
        <v>676</v>
      </c>
      <c r="S36" s="18" t="s">
        <v>677</v>
      </c>
      <c r="U36" s="18" t="s">
        <v>678</v>
      </c>
      <c r="V36" s="18" t="s">
        <v>679</v>
      </c>
      <c r="X36" s="18" t="s">
        <v>32</v>
      </c>
      <c r="Y36" s="18" t="s">
        <v>32</v>
      </c>
    </row>
    <row r="37" spans="1:25" s="18" customFormat="1" x14ac:dyDescent="0.2">
      <c r="A37" s="6"/>
      <c r="B37"/>
      <c r="C37"/>
      <c r="D37"/>
      <c r="E37"/>
      <c r="F37"/>
      <c r="G37"/>
      <c r="H37" s="6"/>
      <c r="I37" s="13"/>
      <c r="M37" s="20"/>
      <c r="O37" s="18" t="s">
        <v>666</v>
      </c>
      <c r="P37" s="18" t="s">
        <v>667</v>
      </c>
      <c r="R37" s="18" t="s">
        <v>668</v>
      </c>
      <c r="S37" s="18" t="s">
        <v>669</v>
      </c>
      <c r="U37" s="18" t="s">
        <v>670</v>
      </c>
      <c r="V37" s="18" t="s">
        <v>671</v>
      </c>
      <c r="X37" s="18" t="s">
        <v>672</v>
      </c>
      <c r="Y37" s="18" t="s">
        <v>673</v>
      </c>
    </row>
    <row r="38" spans="1:25" s="18" customFormat="1" x14ac:dyDescent="0.2">
      <c r="A38" s="6"/>
      <c r="B38"/>
      <c r="C38"/>
      <c r="D38"/>
      <c r="E38"/>
      <c r="F38"/>
      <c r="G38"/>
      <c r="H38" s="6"/>
      <c r="I38" s="13"/>
      <c r="M38" s="20"/>
      <c r="O38" s="18" t="s">
        <v>659</v>
      </c>
      <c r="P38" s="18" t="s">
        <v>660</v>
      </c>
      <c r="R38" s="18" t="s">
        <v>661</v>
      </c>
      <c r="S38" s="18" t="s">
        <v>662</v>
      </c>
      <c r="U38" s="18" t="s">
        <v>663</v>
      </c>
      <c r="V38" s="18" t="s">
        <v>664</v>
      </c>
      <c r="X38" s="18" t="s">
        <v>665</v>
      </c>
      <c r="Y38" s="18" t="s">
        <v>540</v>
      </c>
    </row>
    <row r="39" spans="1:25" s="18" customFormat="1" x14ac:dyDescent="0.2">
      <c r="A39" s="6"/>
      <c r="B39"/>
      <c r="C39"/>
      <c r="D39"/>
      <c r="E39"/>
      <c r="F39"/>
      <c r="G39"/>
      <c r="H39" s="6"/>
      <c r="I39" s="13"/>
      <c r="M39" s="20"/>
      <c r="O39" s="18" t="s">
        <v>652</v>
      </c>
      <c r="P39" s="18" t="s">
        <v>653</v>
      </c>
      <c r="R39" s="18" t="s">
        <v>654</v>
      </c>
      <c r="S39" s="18" t="s">
        <v>655</v>
      </c>
      <c r="U39" s="18" t="s">
        <v>656</v>
      </c>
      <c r="V39" s="18" t="s">
        <v>657</v>
      </c>
      <c r="X39" s="18" t="s">
        <v>634</v>
      </c>
      <c r="Y39" s="18" t="s">
        <v>658</v>
      </c>
    </row>
    <row r="40" spans="1:25" s="18" customFormat="1" x14ac:dyDescent="0.2">
      <c r="A40" s="6"/>
      <c r="B40"/>
      <c r="C40"/>
      <c r="D40"/>
      <c r="E40"/>
      <c r="F40"/>
      <c r="G40"/>
      <c r="H40" s="6"/>
      <c r="I40" s="13"/>
      <c r="M40" s="20"/>
      <c r="O40" s="18" t="s">
        <v>644</v>
      </c>
      <c r="P40" s="18" t="s">
        <v>645</v>
      </c>
      <c r="R40" s="18" t="s">
        <v>646</v>
      </c>
      <c r="S40" s="18" t="s">
        <v>647</v>
      </c>
      <c r="U40" s="18" t="s">
        <v>648</v>
      </c>
      <c r="V40" s="18" t="s">
        <v>649</v>
      </c>
      <c r="X40" s="18" t="s">
        <v>650</v>
      </c>
      <c r="Y40" s="18" t="s">
        <v>651</v>
      </c>
    </row>
    <row r="41" spans="1:25" s="18" customFormat="1" x14ac:dyDescent="0.2">
      <c r="A41" s="6"/>
      <c r="B41"/>
      <c r="C41"/>
      <c r="D41"/>
      <c r="E41"/>
      <c r="F41"/>
      <c r="G41"/>
      <c r="H41" s="6"/>
      <c r="I41" s="13"/>
      <c r="M41" s="20"/>
      <c r="O41" s="18" t="s">
        <v>636</v>
      </c>
      <c r="P41" s="18" t="s">
        <v>637</v>
      </c>
      <c r="R41" s="18" t="s">
        <v>638</v>
      </c>
      <c r="S41" s="18" t="s">
        <v>639</v>
      </c>
      <c r="U41" s="18" t="s">
        <v>640</v>
      </c>
      <c r="V41" s="18" t="s">
        <v>641</v>
      </c>
      <c r="X41" s="18" t="s">
        <v>642</v>
      </c>
      <c r="Y41" s="18" t="s">
        <v>643</v>
      </c>
    </row>
    <row r="42" spans="1:25" s="18" customFormat="1" x14ac:dyDescent="0.2">
      <c r="A42" s="6"/>
      <c r="B42"/>
      <c r="C42"/>
      <c r="D42"/>
      <c r="E42"/>
      <c r="F42"/>
      <c r="G42"/>
      <c r="H42" s="6"/>
      <c r="I42" s="13"/>
      <c r="M42" s="20"/>
      <c r="O42" s="18" t="s">
        <v>628</v>
      </c>
      <c r="P42" s="18" t="s">
        <v>629</v>
      </c>
      <c r="R42" s="18" t="s">
        <v>630</v>
      </c>
      <c r="S42" s="18" t="s">
        <v>631</v>
      </c>
      <c r="U42" s="18" t="s">
        <v>632</v>
      </c>
      <c r="V42" s="18" t="s">
        <v>633</v>
      </c>
      <c r="X42" s="18" t="s">
        <v>634</v>
      </c>
      <c r="Y42" s="18" t="s">
        <v>635</v>
      </c>
    </row>
    <row r="43" spans="1:25" s="18" customFormat="1" x14ac:dyDescent="0.2">
      <c r="A43" s="6"/>
      <c r="B43"/>
      <c r="C43"/>
      <c r="D43"/>
      <c r="E43"/>
      <c r="F43"/>
      <c r="G43"/>
      <c r="H43" s="6"/>
      <c r="I43" s="13"/>
      <c r="M43" s="20"/>
      <c r="O43" s="18" t="s">
        <v>622</v>
      </c>
      <c r="P43" s="18" t="s">
        <v>623</v>
      </c>
      <c r="R43" s="18" t="s">
        <v>624</v>
      </c>
      <c r="S43" s="18" t="s">
        <v>625</v>
      </c>
      <c r="U43" s="18" t="s">
        <v>626</v>
      </c>
      <c r="V43" s="18" t="s">
        <v>627</v>
      </c>
      <c r="X43" s="18" t="s">
        <v>32</v>
      </c>
      <c r="Y43" s="18" t="s">
        <v>32</v>
      </c>
    </row>
    <row r="44" spans="1:25" s="18" customFormat="1" x14ac:dyDescent="0.2">
      <c r="A44" s="6"/>
      <c r="B44"/>
      <c r="C44"/>
      <c r="D44"/>
      <c r="E44"/>
      <c r="F44"/>
      <c r="G44"/>
      <c r="H44" s="6"/>
      <c r="I44" s="13"/>
      <c r="M44" s="20"/>
      <c r="O44" s="18" t="s">
        <v>616</v>
      </c>
      <c r="P44" s="18" t="s">
        <v>617</v>
      </c>
      <c r="R44" s="18" t="s">
        <v>618</v>
      </c>
      <c r="S44" s="18" t="s">
        <v>619</v>
      </c>
      <c r="U44" s="18" t="s">
        <v>620</v>
      </c>
      <c r="V44" s="18" t="s">
        <v>621</v>
      </c>
      <c r="X44" s="18" t="s">
        <v>32</v>
      </c>
      <c r="Y44" s="18" t="s">
        <v>32</v>
      </c>
    </row>
    <row r="45" spans="1:25" s="18" customFormat="1" x14ac:dyDescent="0.2">
      <c r="A45" s="6"/>
      <c r="B45"/>
      <c r="C45"/>
      <c r="D45"/>
      <c r="E45"/>
      <c r="F45"/>
      <c r="G45"/>
      <c r="H45" s="6"/>
      <c r="I45" s="13"/>
      <c r="M45" s="20"/>
      <c r="O45" s="18" t="s">
        <v>608</v>
      </c>
      <c r="P45" s="18" t="s">
        <v>609</v>
      </c>
      <c r="R45" s="18" t="s">
        <v>610</v>
      </c>
      <c r="S45" s="18" t="s">
        <v>611</v>
      </c>
      <c r="U45" s="18" t="s">
        <v>612</v>
      </c>
      <c r="V45" s="18" t="s">
        <v>613</v>
      </c>
      <c r="X45" s="18" t="s">
        <v>614</v>
      </c>
      <c r="Y45" s="18" t="s">
        <v>615</v>
      </c>
    </row>
    <row r="46" spans="1:25" s="18" customFormat="1" x14ac:dyDescent="0.2">
      <c r="A46" s="6"/>
      <c r="B46"/>
      <c r="C46"/>
      <c r="D46"/>
      <c r="E46"/>
      <c r="F46"/>
      <c r="G46"/>
      <c r="H46" s="6"/>
      <c r="I46" s="13"/>
      <c r="M46" s="20"/>
      <c r="O46" s="18" t="s">
        <v>600</v>
      </c>
      <c r="P46" s="18" t="s">
        <v>601</v>
      </c>
      <c r="R46" s="18" t="s">
        <v>602</v>
      </c>
      <c r="S46" s="18" t="s">
        <v>603</v>
      </c>
      <c r="U46" s="18" t="s">
        <v>604</v>
      </c>
      <c r="V46" s="18" t="s">
        <v>605</v>
      </c>
      <c r="X46" s="18" t="s">
        <v>606</v>
      </c>
      <c r="Y46" s="18" t="s">
        <v>607</v>
      </c>
    </row>
    <row r="47" spans="1:25" s="18" customFormat="1" x14ac:dyDescent="0.2">
      <c r="A47" s="6"/>
      <c r="B47"/>
      <c r="C47"/>
      <c r="D47"/>
      <c r="E47"/>
      <c r="F47"/>
      <c r="G47"/>
      <c r="H47" s="6"/>
      <c r="I47" s="13"/>
      <c r="M47" s="20"/>
      <c r="O47" s="18" t="s">
        <v>596</v>
      </c>
      <c r="P47" s="18" t="s">
        <v>597</v>
      </c>
      <c r="R47" s="18" t="s">
        <v>598</v>
      </c>
      <c r="S47" s="18" t="s">
        <v>599</v>
      </c>
      <c r="U47" s="18" t="s">
        <v>32</v>
      </c>
      <c r="V47" s="18" t="s">
        <v>32</v>
      </c>
      <c r="X47" s="18" t="s">
        <v>32</v>
      </c>
      <c r="Y47" s="18" t="s">
        <v>32</v>
      </c>
    </row>
    <row r="48" spans="1:25" s="18" customFormat="1" x14ac:dyDescent="0.2">
      <c r="A48" s="6"/>
      <c r="B48"/>
      <c r="C48"/>
      <c r="D48"/>
      <c r="E48"/>
      <c r="F48"/>
      <c r="G48"/>
      <c r="H48" s="6"/>
      <c r="I48" s="13"/>
      <c r="M48" s="20"/>
      <c r="O48" s="18" t="s">
        <v>588</v>
      </c>
      <c r="P48" s="18" t="s">
        <v>589</v>
      </c>
      <c r="R48" s="18" t="s">
        <v>590</v>
      </c>
      <c r="S48" s="18" t="s">
        <v>591</v>
      </c>
      <c r="U48" s="18" t="s">
        <v>592</v>
      </c>
      <c r="V48" s="18" t="s">
        <v>593</v>
      </c>
      <c r="X48" s="18" t="s">
        <v>594</v>
      </c>
      <c r="Y48" s="18" t="s">
        <v>595</v>
      </c>
    </row>
    <row r="49" spans="1:25" s="18" customFormat="1" x14ac:dyDescent="0.2">
      <c r="A49" s="6"/>
      <c r="B49"/>
      <c r="C49"/>
      <c r="D49"/>
      <c r="E49"/>
      <c r="F49"/>
      <c r="G49"/>
      <c r="H49" s="6"/>
      <c r="I49" s="13"/>
      <c r="M49" s="20"/>
      <c r="O49" s="18" t="s">
        <v>582</v>
      </c>
      <c r="P49" s="18" t="s">
        <v>583</v>
      </c>
      <c r="R49" s="18" t="s">
        <v>584</v>
      </c>
      <c r="S49" s="18" t="s">
        <v>585</v>
      </c>
      <c r="U49" s="18" t="s">
        <v>586</v>
      </c>
      <c r="V49" s="18" t="s">
        <v>587</v>
      </c>
      <c r="X49" s="18" t="s">
        <v>32</v>
      </c>
      <c r="Y49" s="18" t="s">
        <v>32</v>
      </c>
    </row>
    <row r="50" spans="1:25" s="18" customFormat="1" x14ac:dyDescent="0.2">
      <c r="A50" s="6"/>
      <c r="B50"/>
      <c r="C50"/>
      <c r="D50"/>
      <c r="E50"/>
      <c r="F50"/>
      <c r="G50"/>
      <c r="H50" s="6"/>
      <c r="I50" s="13"/>
      <c r="M50" s="20"/>
      <c r="O50" s="18" t="s">
        <v>578</v>
      </c>
      <c r="P50" s="18" t="s">
        <v>579</v>
      </c>
      <c r="R50" s="18" t="s">
        <v>580</v>
      </c>
      <c r="S50" s="18" t="s">
        <v>581</v>
      </c>
      <c r="U50" s="18" t="s">
        <v>32</v>
      </c>
      <c r="V50" s="18" t="s">
        <v>32</v>
      </c>
      <c r="X50" s="18" t="s">
        <v>32</v>
      </c>
      <c r="Y50" s="18" t="s">
        <v>32</v>
      </c>
    </row>
    <row r="51" spans="1:25" s="18" customFormat="1" x14ac:dyDescent="0.2">
      <c r="A51" s="6"/>
      <c r="B51"/>
      <c r="C51"/>
      <c r="D51"/>
      <c r="E51"/>
      <c r="F51"/>
      <c r="G51"/>
      <c r="H51" s="6"/>
      <c r="I51" s="13"/>
      <c r="M51" s="20"/>
      <c r="O51" s="18" t="s">
        <v>576</v>
      </c>
      <c r="P51" s="18" t="s">
        <v>577</v>
      </c>
      <c r="R51" s="18" t="s">
        <v>32</v>
      </c>
      <c r="S51" s="18" t="s">
        <v>32</v>
      </c>
      <c r="U51" s="18" t="s">
        <v>32</v>
      </c>
      <c r="V51" s="18" t="s">
        <v>32</v>
      </c>
      <c r="X51" s="18" t="s">
        <v>32</v>
      </c>
      <c r="Y51" s="18" t="s">
        <v>32</v>
      </c>
    </row>
    <row r="52" spans="1:25" s="18" customFormat="1" x14ac:dyDescent="0.2">
      <c r="A52" s="6"/>
      <c r="B52"/>
      <c r="C52"/>
      <c r="D52"/>
      <c r="E52"/>
      <c r="F52"/>
      <c r="G52"/>
      <c r="H52" s="6"/>
      <c r="I52" s="13"/>
      <c r="M52" s="20"/>
      <c r="O52" s="18" t="s">
        <v>568</v>
      </c>
      <c r="P52" s="18" t="s">
        <v>569</v>
      </c>
      <c r="R52" s="18" t="s">
        <v>570</v>
      </c>
      <c r="S52" s="18" t="s">
        <v>571</v>
      </c>
      <c r="U52" s="18" t="s">
        <v>572</v>
      </c>
      <c r="V52" s="18" t="s">
        <v>573</v>
      </c>
      <c r="X52" s="18" t="s">
        <v>574</v>
      </c>
      <c r="Y52" s="18" t="s">
        <v>575</v>
      </c>
    </row>
    <row r="53" spans="1:25" s="18" customFormat="1" x14ac:dyDescent="0.2">
      <c r="A53" s="6"/>
      <c r="B53"/>
      <c r="C53"/>
      <c r="D53"/>
      <c r="E53"/>
      <c r="F53"/>
      <c r="G53"/>
      <c r="H53" s="6"/>
      <c r="I53" s="13"/>
      <c r="M53" s="20"/>
      <c r="O53" s="18" t="s">
        <v>562</v>
      </c>
      <c r="P53" s="18" t="s">
        <v>563</v>
      </c>
      <c r="R53" s="18" t="s">
        <v>564</v>
      </c>
      <c r="S53" s="18" t="s">
        <v>565</v>
      </c>
      <c r="U53" s="18" t="s">
        <v>566</v>
      </c>
      <c r="V53" s="18" t="s">
        <v>567</v>
      </c>
      <c r="X53" s="18" t="s">
        <v>32</v>
      </c>
      <c r="Y53" s="18" t="s">
        <v>32</v>
      </c>
    </row>
    <row r="54" spans="1:25" s="18" customFormat="1" x14ac:dyDescent="0.2">
      <c r="A54" s="6"/>
      <c r="B54"/>
      <c r="C54"/>
      <c r="D54"/>
      <c r="E54"/>
      <c r="F54"/>
      <c r="G54"/>
      <c r="H54" s="6"/>
      <c r="I54" s="13"/>
      <c r="M54" s="20"/>
      <c r="O54" s="18" t="s">
        <v>554</v>
      </c>
      <c r="P54" s="18" t="s">
        <v>555</v>
      </c>
      <c r="R54" s="18" t="s">
        <v>556</v>
      </c>
      <c r="S54" s="18" t="s">
        <v>557</v>
      </c>
      <c r="U54" s="18" t="s">
        <v>558</v>
      </c>
      <c r="V54" s="18" t="s">
        <v>559</v>
      </c>
      <c r="X54" s="18" t="s">
        <v>560</v>
      </c>
      <c r="Y54" s="18" t="s">
        <v>561</v>
      </c>
    </row>
    <row r="55" spans="1:25" s="18" customFormat="1" x14ac:dyDescent="0.2">
      <c r="A55" s="6"/>
      <c r="B55"/>
      <c r="C55"/>
      <c r="D55"/>
      <c r="E55"/>
      <c r="F55"/>
      <c r="G55"/>
      <c r="H55" s="6"/>
      <c r="I55" s="13"/>
      <c r="M55" s="20"/>
      <c r="O55" s="18" t="s">
        <v>547</v>
      </c>
      <c r="P55" s="18" t="s">
        <v>548</v>
      </c>
      <c r="R55" s="18" t="s">
        <v>549</v>
      </c>
      <c r="S55" s="18" t="s">
        <v>550</v>
      </c>
      <c r="U55" s="18" t="s">
        <v>551</v>
      </c>
      <c r="V55" s="18" t="s">
        <v>552</v>
      </c>
      <c r="X55" s="18" t="s">
        <v>553</v>
      </c>
      <c r="Y55" s="18" t="s">
        <v>487</v>
      </c>
    </row>
    <row r="56" spans="1:25" s="18" customFormat="1" x14ac:dyDescent="0.2">
      <c r="A56" s="6"/>
      <c r="B56"/>
      <c r="C56"/>
      <c r="D56"/>
      <c r="E56"/>
      <c r="F56"/>
      <c r="G56"/>
      <c r="H56" s="6"/>
      <c r="I56" s="13"/>
      <c r="M56" s="20"/>
      <c r="O56" s="18" t="s">
        <v>541</v>
      </c>
      <c r="P56" s="18" t="s">
        <v>542</v>
      </c>
      <c r="R56" s="18" t="s">
        <v>543</v>
      </c>
      <c r="S56" s="18" t="s">
        <v>544</v>
      </c>
      <c r="U56" s="18" t="s">
        <v>545</v>
      </c>
      <c r="V56" s="18" t="s">
        <v>546</v>
      </c>
      <c r="X56" s="18" t="s">
        <v>32</v>
      </c>
      <c r="Y56" s="18" t="s">
        <v>32</v>
      </c>
    </row>
    <row r="57" spans="1:25" s="18" customFormat="1" x14ac:dyDescent="0.2">
      <c r="A57" s="6"/>
      <c r="B57"/>
      <c r="C57"/>
      <c r="D57"/>
      <c r="E57"/>
      <c r="F57"/>
      <c r="G57"/>
      <c r="H57" s="6"/>
      <c r="I57" s="13"/>
      <c r="M57" s="20"/>
      <c r="O57" s="18" t="s">
        <v>536</v>
      </c>
      <c r="P57" s="18" t="s">
        <v>537</v>
      </c>
      <c r="R57" s="18" t="s">
        <v>538</v>
      </c>
      <c r="S57" s="18" t="s">
        <v>539</v>
      </c>
      <c r="U57" s="18" t="s">
        <v>540</v>
      </c>
      <c r="V57" s="18" t="s">
        <v>481</v>
      </c>
      <c r="X57" s="18" t="s">
        <v>32</v>
      </c>
      <c r="Y57" s="18" t="s">
        <v>32</v>
      </c>
    </row>
    <row r="58" spans="1:25" s="18" customFormat="1" x14ac:dyDescent="0.2">
      <c r="A58" s="6"/>
      <c r="B58"/>
      <c r="C58"/>
      <c r="D58"/>
      <c r="E58"/>
      <c r="F58"/>
      <c r="G58"/>
      <c r="H58" s="6"/>
      <c r="I58" s="13"/>
      <c r="M58" s="20"/>
      <c r="O58" s="18" t="s">
        <v>528</v>
      </c>
      <c r="P58" s="18" t="s">
        <v>529</v>
      </c>
      <c r="R58" s="18" t="s">
        <v>530</v>
      </c>
      <c r="S58" s="18" t="s">
        <v>531</v>
      </c>
      <c r="U58" s="18" t="s">
        <v>532</v>
      </c>
      <c r="V58" s="18" t="s">
        <v>533</v>
      </c>
      <c r="X58" s="18" t="s">
        <v>534</v>
      </c>
      <c r="Y58" s="18" t="s">
        <v>535</v>
      </c>
    </row>
    <row r="59" spans="1:25" s="18" customFormat="1" x14ac:dyDescent="0.2">
      <c r="A59" s="6"/>
      <c r="B59"/>
      <c r="C59"/>
      <c r="D59"/>
      <c r="E59"/>
      <c r="F59"/>
      <c r="G59"/>
      <c r="H59" s="6"/>
      <c r="I59" s="13"/>
      <c r="M59" s="20"/>
      <c r="O59" s="18" t="s">
        <v>522</v>
      </c>
      <c r="P59" s="18" t="s">
        <v>523</v>
      </c>
      <c r="R59" s="18" t="s">
        <v>524</v>
      </c>
      <c r="S59" s="18" t="s">
        <v>525</v>
      </c>
      <c r="U59" s="18" t="s">
        <v>526</v>
      </c>
      <c r="V59" s="18" t="s">
        <v>527</v>
      </c>
      <c r="X59" s="18" t="s">
        <v>32</v>
      </c>
      <c r="Y59" s="18" t="s">
        <v>32</v>
      </c>
    </row>
    <row r="60" spans="1:25" s="18" customFormat="1" x14ac:dyDescent="0.2">
      <c r="A60" s="6"/>
      <c r="B60"/>
      <c r="C60"/>
      <c r="D60"/>
      <c r="E60"/>
      <c r="F60"/>
      <c r="G60"/>
      <c r="H60" s="6"/>
      <c r="I60" s="13"/>
      <c r="M60" s="20"/>
      <c r="O60" s="18" t="s">
        <v>516</v>
      </c>
      <c r="P60" s="18" t="s">
        <v>517</v>
      </c>
      <c r="R60" s="18" t="s">
        <v>518</v>
      </c>
      <c r="S60" s="18" t="s">
        <v>519</v>
      </c>
      <c r="U60" s="18" t="s">
        <v>520</v>
      </c>
      <c r="V60" s="18" t="s">
        <v>521</v>
      </c>
      <c r="X60" s="18" t="s">
        <v>32</v>
      </c>
      <c r="Y60" s="18" t="s">
        <v>32</v>
      </c>
    </row>
    <row r="61" spans="1:25" s="18" customFormat="1" x14ac:dyDescent="0.2">
      <c r="A61" s="6"/>
      <c r="B61"/>
      <c r="C61"/>
      <c r="D61"/>
      <c r="E61"/>
      <c r="F61"/>
      <c r="G61"/>
      <c r="H61" s="6"/>
      <c r="I61" s="13"/>
      <c r="M61" s="20"/>
      <c r="O61" s="18" t="s">
        <v>508</v>
      </c>
      <c r="P61" s="18" t="s">
        <v>509</v>
      </c>
      <c r="R61" s="18" t="s">
        <v>510</v>
      </c>
      <c r="S61" s="18" t="s">
        <v>511</v>
      </c>
      <c r="U61" s="18" t="s">
        <v>512</v>
      </c>
      <c r="V61" s="18" t="s">
        <v>513</v>
      </c>
      <c r="X61" s="18" t="s">
        <v>514</v>
      </c>
      <c r="Y61" s="18" t="s">
        <v>515</v>
      </c>
    </row>
    <row r="62" spans="1:25" s="18" customFormat="1" x14ac:dyDescent="0.2">
      <c r="A62" s="6"/>
      <c r="B62"/>
      <c r="C62"/>
      <c r="D62"/>
      <c r="E62"/>
      <c r="F62"/>
      <c r="G62"/>
      <c r="H62" s="6"/>
      <c r="I62" s="13"/>
      <c r="M62" s="20"/>
      <c r="O62" s="18" t="s">
        <v>502</v>
      </c>
      <c r="P62" s="18" t="s">
        <v>503</v>
      </c>
      <c r="R62" s="18" t="s">
        <v>504</v>
      </c>
      <c r="S62" s="18" t="s">
        <v>505</v>
      </c>
      <c r="U62" s="18" t="s">
        <v>506</v>
      </c>
      <c r="V62" s="18" t="s">
        <v>507</v>
      </c>
      <c r="X62" s="18" t="s">
        <v>32</v>
      </c>
      <c r="Y62" s="18" t="s">
        <v>32</v>
      </c>
    </row>
    <row r="63" spans="1:25" s="18" customFormat="1" x14ac:dyDescent="0.2">
      <c r="A63" s="6"/>
      <c r="B63"/>
      <c r="C63"/>
      <c r="D63"/>
      <c r="E63"/>
      <c r="F63"/>
      <c r="G63"/>
      <c r="H63" s="6"/>
      <c r="I63" s="13"/>
      <c r="M63" s="20"/>
      <c r="O63" s="18" t="s">
        <v>496</v>
      </c>
      <c r="P63" s="18" t="s">
        <v>497</v>
      </c>
      <c r="R63" s="18" t="s">
        <v>498</v>
      </c>
      <c r="S63" s="18" t="s">
        <v>499</v>
      </c>
      <c r="U63" s="18" t="s">
        <v>500</v>
      </c>
      <c r="V63" s="18" t="s">
        <v>501</v>
      </c>
      <c r="X63" s="18" t="s">
        <v>32</v>
      </c>
      <c r="Y63" s="18" t="s">
        <v>32</v>
      </c>
    </row>
    <row r="64" spans="1:25" s="18" customFormat="1" x14ac:dyDescent="0.2">
      <c r="A64" s="6"/>
      <c r="B64"/>
      <c r="C64"/>
      <c r="D64"/>
      <c r="E64"/>
      <c r="F64"/>
      <c r="G64"/>
      <c r="H64" s="6"/>
      <c r="I64" s="13"/>
      <c r="M64" s="20"/>
      <c r="O64" s="18" t="s">
        <v>488</v>
      </c>
      <c r="P64" s="18" t="s">
        <v>489</v>
      </c>
      <c r="R64" s="18" t="s">
        <v>490</v>
      </c>
      <c r="S64" s="18" t="s">
        <v>491</v>
      </c>
      <c r="U64" s="18" t="s">
        <v>492</v>
      </c>
      <c r="V64" s="18" t="s">
        <v>493</v>
      </c>
      <c r="X64" s="18" t="s">
        <v>494</v>
      </c>
      <c r="Y64" s="18" t="s">
        <v>495</v>
      </c>
    </row>
    <row r="65" spans="1:25" s="18" customFormat="1" x14ac:dyDescent="0.2">
      <c r="A65" s="6"/>
      <c r="B65"/>
      <c r="C65"/>
      <c r="D65"/>
      <c r="E65"/>
      <c r="F65"/>
      <c r="G65"/>
      <c r="H65" s="6"/>
      <c r="I65" s="13"/>
      <c r="M65" s="20"/>
      <c r="O65" s="18" t="s">
        <v>482</v>
      </c>
      <c r="P65" s="18" t="s">
        <v>483</v>
      </c>
      <c r="R65" s="18" t="s">
        <v>484</v>
      </c>
      <c r="S65" s="18" t="s">
        <v>485</v>
      </c>
      <c r="U65" s="18" t="s">
        <v>486</v>
      </c>
      <c r="V65" s="18" t="s">
        <v>487</v>
      </c>
      <c r="X65" s="18" t="s">
        <v>32</v>
      </c>
      <c r="Y65" s="18" t="s">
        <v>32</v>
      </c>
    </row>
    <row r="66" spans="1:25" s="18" customFormat="1" x14ac:dyDescent="0.2">
      <c r="A66" s="6"/>
      <c r="B66"/>
      <c r="C66"/>
      <c r="D66"/>
      <c r="E66"/>
      <c r="F66"/>
      <c r="G66"/>
      <c r="H66" s="6"/>
      <c r="I66" s="13"/>
      <c r="M66" s="20"/>
      <c r="O66" s="18" t="s">
        <v>474</v>
      </c>
      <c r="P66" s="18" t="s">
        <v>475</v>
      </c>
      <c r="R66" s="18" t="s">
        <v>476</v>
      </c>
      <c r="S66" s="18" t="s">
        <v>477</v>
      </c>
      <c r="U66" s="18" t="s">
        <v>478</v>
      </c>
      <c r="V66" s="18" t="s">
        <v>479</v>
      </c>
      <c r="X66" s="18" t="s">
        <v>480</v>
      </c>
      <c r="Y66" s="18" t="s">
        <v>481</v>
      </c>
    </row>
    <row r="67" spans="1:25" s="18" customFormat="1" x14ac:dyDescent="0.2">
      <c r="A67" s="6"/>
      <c r="B67"/>
      <c r="C67"/>
      <c r="D67"/>
      <c r="E67"/>
      <c r="F67"/>
      <c r="G67"/>
      <c r="H67" s="6"/>
      <c r="I67" s="13"/>
      <c r="M67" s="20"/>
      <c r="O67" s="18" t="s">
        <v>466</v>
      </c>
      <c r="P67" s="18" t="s">
        <v>467</v>
      </c>
      <c r="R67" s="18" t="s">
        <v>468</v>
      </c>
      <c r="S67" s="18" t="s">
        <v>469</v>
      </c>
      <c r="U67" s="18" t="s">
        <v>470</v>
      </c>
      <c r="V67" s="18" t="s">
        <v>471</v>
      </c>
      <c r="X67" s="18" t="s">
        <v>472</v>
      </c>
      <c r="Y67" s="18" t="s">
        <v>473</v>
      </c>
    </row>
    <row r="68" spans="1:25" s="18" customFormat="1" x14ac:dyDescent="0.2">
      <c r="A68" s="6"/>
      <c r="B68"/>
      <c r="C68"/>
      <c r="D68"/>
      <c r="E68"/>
      <c r="F68"/>
      <c r="G68"/>
      <c r="H68" s="6"/>
      <c r="I68" s="13"/>
      <c r="M68" s="20"/>
      <c r="O68" s="18" t="s">
        <v>459</v>
      </c>
      <c r="P68" s="18" t="s">
        <v>460</v>
      </c>
      <c r="R68" s="18" t="s">
        <v>461</v>
      </c>
      <c r="S68" s="18" t="s">
        <v>462</v>
      </c>
      <c r="U68" s="18" t="s">
        <v>463</v>
      </c>
      <c r="V68" s="18" t="s">
        <v>464</v>
      </c>
      <c r="X68" s="18" t="s">
        <v>32</v>
      </c>
      <c r="Y68" s="18" t="s">
        <v>465</v>
      </c>
    </row>
    <row r="69" spans="1:25" s="18" customFormat="1" x14ac:dyDescent="0.2">
      <c r="A69" s="6"/>
      <c r="B69"/>
      <c r="C69"/>
      <c r="D69"/>
      <c r="E69"/>
      <c r="F69"/>
      <c r="G69"/>
      <c r="H69" s="6"/>
      <c r="I69" s="13"/>
      <c r="M69" s="20"/>
      <c r="O69" s="18" t="s">
        <v>451</v>
      </c>
      <c r="P69" s="18" t="s">
        <v>452</v>
      </c>
      <c r="R69" s="18" t="s">
        <v>453</v>
      </c>
      <c r="S69" s="18" t="s">
        <v>454</v>
      </c>
      <c r="U69" s="18" t="s">
        <v>455</v>
      </c>
      <c r="V69" s="18" t="s">
        <v>456</v>
      </c>
      <c r="X69" s="18" t="s">
        <v>457</v>
      </c>
      <c r="Y69" s="18" t="s">
        <v>458</v>
      </c>
    </row>
    <row r="70" spans="1:25" s="18" customFormat="1" x14ac:dyDescent="0.2">
      <c r="A70" s="6"/>
      <c r="B70"/>
      <c r="C70"/>
      <c r="D70"/>
      <c r="E70"/>
      <c r="F70"/>
      <c r="G70"/>
      <c r="H70" s="6"/>
      <c r="I70" s="13"/>
      <c r="M70" s="20"/>
      <c r="O70" s="18" t="s">
        <v>443</v>
      </c>
      <c r="P70" s="18" t="s">
        <v>444</v>
      </c>
      <c r="R70" s="18" t="s">
        <v>445</v>
      </c>
      <c r="S70" s="18" t="s">
        <v>446</v>
      </c>
      <c r="U70" s="18" t="s">
        <v>447</v>
      </c>
      <c r="V70" s="18" t="s">
        <v>448</v>
      </c>
      <c r="X70" s="18" t="s">
        <v>449</v>
      </c>
      <c r="Y70" s="18" t="s">
        <v>450</v>
      </c>
    </row>
    <row r="71" spans="1:25" s="18" customFormat="1" x14ac:dyDescent="0.2">
      <c r="A71" s="6"/>
      <c r="B71"/>
      <c r="C71"/>
      <c r="D71"/>
      <c r="E71"/>
      <c r="F71"/>
      <c r="G71"/>
      <c r="H71" s="6"/>
      <c r="I71" s="13"/>
      <c r="M71" s="20"/>
      <c r="O71" s="18" t="s">
        <v>435</v>
      </c>
      <c r="P71" s="18" t="s">
        <v>436</v>
      </c>
      <c r="R71" s="18" t="s">
        <v>439</v>
      </c>
      <c r="S71" s="18" t="s">
        <v>440</v>
      </c>
      <c r="U71" s="18" t="s">
        <v>441</v>
      </c>
      <c r="V71" s="18" t="s">
        <v>442</v>
      </c>
      <c r="X71" s="18" t="s">
        <v>32</v>
      </c>
      <c r="Y71" s="18" t="s">
        <v>32</v>
      </c>
    </row>
    <row r="72" spans="1:25" s="18" customFormat="1" x14ac:dyDescent="0.2">
      <c r="A72" s="6"/>
      <c r="B72"/>
      <c r="C72"/>
      <c r="D72"/>
      <c r="E72"/>
      <c r="F72"/>
      <c r="G72"/>
      <c r="H72" s="6"/>
      <c r="I72" s="13"/>
      <c r="M72" s="20"/>
      <c r="O72" s="18" t="s">
        <v>435</v>
      </c>
      <c r="P72" s="18" t="s">
        <v>436</v>
      </c>
      <c r="R72" s="18" t="s">
        <v>437</v>
      </c>
      <c r="S72" s="18" t="s">
        <v>438</v>
      </c>
      <c r="U72" s="18" t="s">
        <v>32</v>
      </c>
      <c r="V72" s="18" t="s">
        <v>32</v>
      </c>
      <c r="X72" s="18" t="s">
        <v>32</v>
      </c>
      <c r="Y72" s="18" t="s">
        <v>32</v>
      </c>
    </row>
    <row r="73" spans="1:25" s="18" customFormat="1" x14ac:dyDescent="0.2">
      <c r="A73" s="6"/>
      <c r="B73"/>
      <c r="C73"/>
      <c r="D73"/>
      <c r="E73"/>
      <c r="F73"/>
      <c r="G73"/>
      <c r="H73" s="6"/>
      <c r="I73" s="13"/>
      <c r="M73" s="20"/>
      <c r="O73" s="18" t="s">
        <v>433</v>
      </c>
      <c r="P73" s="18" t="s">
        <v>434</v>
      </c>
      <c r="R73" s="18" t="s">
        <v>32</v>
      </c>
      <c r="S73" s="18" t="s">
        <v>32</v>
      </c>
      <c r="U73" s="18" t="s">
        <v>32</v>
      </c>
      <c r="V73" s="18" t="s">
        <v>32</v>
      </c>
      <c r="X73" s="18" t="s">
        <v>32</v>
      </c>
      <c r="Y73" s="18" t="s">
        <v>32</v>
      </c>
    </row>
    <row r="74" spans="1:25" s="18" customFormat="1" x14ac:dyDescent="0.2">
      <c r="A74" s="6"/>
      <c r="B74"/>
      <c r="C74"/>
      <c r="D74"/>
      <c r="E74"/>
      <c r="F74"/>
      <c r="G74"/>
      <c r="H74" s="6"/>
      <c r="I74" s="13"/>
      <c r="M74" s="20"/>
      <c r="O74" s="18" t="s">
        <v>429</v>
      </c>
      <c r="P74" s="18" t="s">
        <v>430</v>
      </c>
      <c r="R74" s="18" t="s">
        <v>431</v>
      </c>
      <c r="S74" s="18" t="s">
        <v>432</v>
      </c>
      <c r="U74" s="18" t="s">
        <v>32</v>
      </c>
      <c r="V74" s="18" t="s">
        <v>32</v>
      </c>
      <c r="X74" s="18" t="s">
        <v>32</v>
      </c>
      <c r="Y74" s="18" t="s">
        <v>32</v>
      </c>
    </row>
    <row r="75" spans="1:25" s="18" customFormat="1" x14ac:dyDescent="0.2">
      <c r="A75" s="6"/>
      <c r="B75"/>
      <c r="C75"/>
      <c r="D75"/>
      <c r="E75"/>
      <c r="F75"/>
      <c r="G75"/>
      <c r="H75" s="6"/>
      <c r="I75" s="13"/>
      <c r="M75" s="20"/>
      <c r="O75" s="18" t="s">
        <v>425</v>
      </c>
      <c r="P75" s="18" t="s">
        <v>426</v>
      </c>
      <c r="R75" s="18" t="s">
        <v>427</v>
      </c>
      <c r="S75" s="18" t="s">
        <v>428</v>
      </c>
      <c r="U75" s="18" t="s">
        <v>32</v>
      </c>
      <c r="V75" s="18" t="s">
        <v>32</v>
      </c>
      <c r="X75" s="18" t="s">
        <v>32</v>
      </c>
      <c r="Y75" s="18" t="s">
        <v>32</v>
      </c>
    </row>
    <row r="76" spans="1:25" s="18" customFormat="1" x14ac:dyDescent="0.2">
      <c r="A76" s="6"/>
      <c r="B76"/>
      <c r="C76"/>
      <c r="D76"/>
      <c r="E76"/>
      <c r="F76"/>
      <c r="G76"/>
      <c r="H76" s="6"/>
      <c r="I76" s="13"/>
      <c r="M76" s="20"/>
      <c r="O76" s="18" t="s">
        <v>421</v>
      </c>
      <c r="P76" s="18" t="s">
        <v>422</v>
      </c>
      <c r="R76" s="18" t="s">
        <v>423</v>
      </c>
      <c r="S76" s="18" t="s">
        <v>424</v>
      </c>
      <c r="U76" s="18" t="s">
        <v>32</v>
      </c>
      <c r="V76" s="18" t="s">
        <v>32</v>
      </c>
      <c r="X76" s="18" t="s">
        <v>32</v>
      </c>
      <c r="Y76" s="18" t="s">
        <v>32</v>
      </c>
    </row>
    <row r="77" spans="1:25" s="18" customFormat="1" x14ac:dyDescent="0.2">
      <c r="A77" s="6"/>
      <c r="B77"/>
      <c r="C77"/>
      <c r="D77"/>
      <c r="E77"/>
      <c r="F77"/>
      <c r="G77"/>
      <c r="H77" s="6"/>
      <c r="I77" s="13"/>
      <c r="M77" s="20"/>
      <c r="O77" s="18" t="s">
        <v>415</v>
      </c>
      <c r="P77" s="18" t="s">
        <v>416</v>
      </c>
      <c r="R77" s="18" t="s">
        <v>417</v>
      </c>
      <c r="S77" s="18" t="s">
        <v>418</v>
      </c>
      <c r="U77" s="18" t="s">
        <v>419</v>
      </c>
      <c r="V77" s="18" t="s">
        <v>420</v>
      </c>
      <c r="X77" s="18" t="s">
        <v>32</v>
      </c>
      <c r="Y77" s="18" t="s">
        <v>32</v>
      </c>
    </row>
    <row r="78" spans="1:25" s="18" customFormat="1" x14ac:dyDescent="0.2">
      <c r="A78" s="6"/>
      <c r="B78"/>
      <c r="C78"/>
      <c r="D78"/>
      <c r="E78"/>
      <c r="F78"/>
      <c r="G78"/>
      <c r="H78" s="6"/>
      <c r="I78" s="13"/>
      <c r="M78" s="20"/>
      <c r="O78" s="18" t="s">
        <v>409</v>
      </c>
      <c r="P78" s="18" t="s">
        <v>410</v>
      </c>
      <c r="R78" s="18" t="s">
        <v>411</v>
      </c>
      <c r="S78" s="18" t="s">
        <v>412</v>
      </c>
      <c r="U78" s="18" t="s">
        <v>413</v>
      </c>
      <c r="V78" s="18" t="s">
        <v>414</v>
      </c>
      <c r="X78" s="18" t="s">
        <v>32</v>
      </c>
      <c r="Y78" s="18" t="s">
        <v>32</v>
      </c>
    </row>
    <row r="79" spans="1:25" s="18" customFormat="1" x14ac:dyDescent="0.2">
      <c r="A79" s="6"/>
      <c r="B79"/>
      <c r="C79"/>
      <c r="D79"/>
      <c r="E79"/>
      <c r="F79"/>
      <c r="G79"/>
      <c r="H79" s="6"/>
      <c r="I79" s="13"/>
      <c r="M79" s="20"/>
      <c r="O79" s="18" t="s">
        <v>401</v>
      </c>
      <c r="P79" s="18" t="s">
        <v>402</v>
      </c>
      <c r="R79" s="18" t="s">
        <v>403</v>
      </c>
      <c r="S79" s="18" t="s">
        <v>404</v>
      </c>
      <c r="U79" s="18" t="s">
        <v>405</v>
      </c>
      <c r="V79" s="18" t="s">
        <v>406</v>
      </c>
      <c r="X79" s="18" t="s">
        <v>407</v>
      </c>
      <c r="Y79" s="18" t="s">
        <v>408</v>
      </c>
    </row>
    <row r="80" spans="1:25" s="18" customFormat="1" x14ac:dyDescent="0.2">
      <c r="A80" s="6"/>
      <c r="B80"/>
      <c r="C80"/>
      <c r="D80"/>
      <c r="E80"/>
      <c r="F80"/>
      <c r="G80"/>
      <c r="H80" s="6"/>
      <c r="I80" s="13"/>
      <c r="M80" s="20"/>
      <c r="O80" s="18" t="s">
        <v>393</v>
      </c>
      <c r="P80" s="18" t="s">
        <v>394</v>
      </c>
      <c r="R80" s="18" t="s">
        <v>395</v>
      </c>
      <c r="S80" s="18" t="s">
        <v>396</v>
      </c>
      <c r="U80" s="18" t="s">
        <v>397</v>
      </c>
      <c r="V80" s="18" t="s">
        <v>398</v>
      </c>
      <c r="X80" s="18" t="s">
        <v>399</v>
      </c>
      <c r="Y80" s="18" t="s">
        <v>400</v>
      </c>
    </row>
    <row r="81" spans="1:25" s="18" customFormat="1" x14ac:dyDescent="0.2">
      <c r="A81" s="6"/>
      <c r="B81"/>
      <c r="C81"/>
      <c r="D81"/>
      <c r="E81"/>
      <c r="F81"/>
      <c r="G81"/>
      <c r="H81" s="6"/>
      <c r="I81" s="13"/>
      <c r="M81" s="20"/>
      <c r="O81" s="18" t="s">
        <v>385</v>
      </c>
      <c r="P81" s="18" t="s">
        <v>386</v>
      </c>
      <c r="R81" s="18" t="s">
        <v>387</v>
      </c>
      <c r="S81" s="18" t="s">
        <v>388</v>
      </c>
      <c r="U81" s="18" t="s">
        <v>389</v>
      </c>
      <c r="V81" s="18" t="s">
        <v>390</v>
      </c>
      <c r="X81" s="18" t="s">
        <v>391</v>
      </c>
      <c r="Y81" s="18" t="s">
        <v>392</v>
      </c>
    </row>
    <row r="82" spans="1:25" s="18" customFormat="1" x14ac:dyDescent="0.2">
      <c r="A82" s="6"/>
      <c r="B82"/>
      <c r="C82"/>
      <c r="D82"/>
      <c r="E82"/>
      <c r="F82"/>
      <c r="G82"/>
      <c r="H82" s="6"/>
      <c r="I82" s="13"/>
      <c r="M82" s="20"/>
      <c r="O82" s="18" t="s">
        <v>379</v>
      </c>
      <c r="P82" s="18" t="s">
        <v>380</v>
      </c>
      <c r="R82" s="18" t="s">
        <v>381</v>
      </c>
      <c r="S82" s="18" t="s">
        <v>382</v>
      </c>
      <c r="U82" s="18" t="s">
        <v>383</v>
      </c>
      <c r="V82" s="18" t="s">
        <v>384</v>
      </c>
      <c r="X82" s="18" t="s">
        <v>32</v>
      </c>
      <c r="Y82" s="18" t="s">
        <v>32</v>
      </c>
    </row>
    <row r="83" spans="1:25" s="18" customFormat="1" x14ac:dyDescent="0.2">
      <c r="A83" s="6"/>
      <c r="B83"/>
      <c r="C83"/>
      <c r="D83"/>
      <c r="E83"/>
      <c r="F83"/>
      <c r="G83"/>
      <c r="H83" s="6"/>
      <c r="I83" s="13"/>
      <c r="M83" s="20"/>
      <c r="O83" s="18" t="s">
        <v>373</v>
      </c>
      <c r="P83" s="18" t="s">
        <v>374</v>
      </c>
      <c r="R83" s="18" t="s">
        <v>375</v>
      </c>
      <c r="S83" s="18" t="s">
        <v>376</v>
      </c>
      <c r="U83" s="18" t="s">
        <v>377</v>
      </c>
      <c r="V83" s="18" t="s">
        <v>378</v>
      </c>
      <c r="X83" s="18" t="s">
        <v>32</v>
      </c>
      <c r="Y83" s="18" t="s">
        <v>32</v>
      </c>
    </row>
    <row r="84" spans="1:25" s="18" customFormat="1" x14ac:dyDescent="0.2">
      <c r="A84" s="6"/>
      <c r="B84"/>
      <c r="C84"/>
      <c r="D84"/>
      <c r="E84"/>
      <c r="F84"/>
      <c r="G84"/>
      <c r="H84" s="6"/>
      <c r="I84" s="13"/>
      <c r="M84" s="20"/>
      <c r="O84" s="18" t="s">
        <v>369</v>
      </c>
      <c r="P84" s="18" t="s">
        <v>370</v>
      </c>
      <c r="R84" s="18" t="s">
        <v>371</v>
      </c>
      <c r="S84" s="18" t="s">
        <v>372</v>
      </c>
      <c r="U84" s="18" t="s">
        <v>32</v>
      </c>
      <c r="V84" s="18" t="s">
        <v>32</v>
      </c>
      <c r="X84" s="18" t="s">
        <v>32</v>
      </c>
      <c r="Y84" s="18" t="s">
        <v>32</v>
      </c>
    </row>
    <row r="85" spans="1:25" s="18" customFormat="1" x14ac:dyDescent="0.2">
      <c r="A85" s="6"/>
      <c r="B85"/>
      <c r="C85"/>
      <c r="D85"/>
      <c r="E85"/>
      <c r="F85"/>
      <c r="G85"/>
      <c r="H85" s="6"/>
      <c r="I85" s="13"/>
      <c r="M85" s="20"/>
      <c r="O85" s="18" t="s">
        <v>361</v>
      </c>
      <c r="P85" s="18" t="s">
        <v>362</v>
      </c>
      <c r="R85" s="18" t="s">
        <v>363</v>
      </c>
      <c r="S85" s="18" t="s">
        <v>364</v>
      </c>
      <c r="U85" s="18" t="s">
        <v>365</v>
      </c>
      <c r="V85" s="18" t="s">
        <v>366</v>
      </c>
      <c r="X85" s="18" t="s">
        <v>367</v>
      </c>
      <c r="Y85" s="18" t="s">
        <v>368</v>
      </c>
    </row>
    <row r="86" spans="1:25" s="18" customFormat="1" x14ac:dyDescent="0.2">
      <c r="A86" s="6"/>
      <c r="B86"/>
      <c r="C86"/>
      <c r="D86"/>
      <c r="E86"/>
      <c r="F86"/>
      <c r="G86"/>
      <c r="H86" s="6"/>
      <c r="I86" s="13"/>
      <c r="J86"/>
      <c r="K86"/>
      <c r="L86"/>
      <c r="M86" s="12"/>
      <c r="O86" s="18" t="s">
        <v>353</v>
      </c>
      <c r="P86" s="18" t="s">
        <v>354</v>
      </c>
      <c r="R86" s="18" t="s">
        <v>355</v>
      </c>
      <c r="S86" s="18" t="s">
        <v>356</v>
      </c>
      <c r="U86" s="18" t="s">
        <v>357</v>
      </c>
      <c r="V86" s="18" t="s">
        <v>358</v>
      </c>
      <c r="X86" s="18" t="s">
        <v>359</v>
      </c>
      <c r="Y86" s="18" t="s">
        <v>360</v>
      </c>
    </row>
    <row r="87" spans="1:25" s="18" customFormat="1" x14ac:dyDescent="0.2">
      <c r="A87" s="6"/>
      <c r="B87"/>
      <c r="C87"/>
      <c r="D87"/>
      <c r="E87"/>
      <c r="F87"/>
      <c r="G87"/>
      <c r="H87" s="6"/>
      <c r="I87" s="13"/>
      <c r="J87"/>
      <c r="K87"/>
      <c r="L87"/>
      <c r="M87" s="12"/>
      <c r="O87" s="18" t="s">
        <v>345</v>
      </c>
      <c r="P87" s="18" t="s">
        <v>346</v>
      </c>
      <c r="R87" s="18" t="s">
        <v>347</v>
      </c>
      <c r="S87" s="18" t="s">
        <v>348</v>
      </c>
      <c r="U87" s="18" t="s">
        <v>349</v>
      </c>
      <c r="V87" s="18" t="s">
        <v>350</v>
      </c>
      <c r="X87" s="18" t="s">
        <v>351</v>
      </c>
      <c r="Y87" s="18" t="s">
        <v>352</v>
      </c>
    </row>
    <row r="88" spans="1:25" s="18" customFormat="1" x14ac:dyDescent="0.2">
      <c r="A88" s="6"/>
      <c r="B88"/>
      <c r="C88"/>
      <c r="D88"/>
      <c r="E88"/>
      <c r="F88"/>
      <c r="G88"/>
      <c r="H88" s="6"/>
      <c r="I88" s="13"/>
      <c r="J88"/>
      <c r="K88"/>
      <c r="L88"/>
      <c r="M88" s="12"/>
      <c r="O88" s="18" t="s">
        <v>337</v>
      </c>
      <c r="P88" s="18" t="s">
        <v>338</v>
      </c>
      <c r="R88" s="18" t="s">
        <v>339</v>
      </c>
      <c r="S88" s="18" t="s">
        <v>340</v>
      </c>
      <c r="U88" s="18" t="s">
        <v>341</v>
      </c>
      <c r="V88" s="18" t="s">
        <v>342</v>
      </c>
      <c r="X88" s="18" t="s">
        <v>343</v>
      </c>
      <c r="Y88" s="18" t="s">
        <v>344</v>
      </c>
    </row>
    <row r="89" spans="1:25" s="18" customFormat="1" x14ac:dyDescent="0.2">
      <c r="A89" s="6"/>
      <c r="B89"/>
      <c r="C89"/>
      <c r="D89"/>
      <c r="E89"/>
      <c r="F89"/>
      <c r="G89"/>
      <c r="H89" s="6"/>
      <c r="I89" s="13"/>
      <c r="J89"/>
      <c r="K89"/>
      <c r="L89"/>
      <c r="M89" s="12"/>
      <c r="O89" s="18" t="s">
        <v>329</v>
      </c>
      <c r="P89" s="18" t="s">
        <v>330</v>
      </c>
      <c r="R89" s="18" t="s">
        <v>331</v>
      </c>
      <c r="S89" s="18" t="s">
        <v>332</v>
      </c>
      <c r="U89" s="18" t="s">
        <v>333</v>
      </c>
      <c r="V89" s="18" t="s">
        <v>334</v>
      </c>
      <c r="X89" s="18" t="s">
        <v>335</v>
      </c>
      <c r="Y89" s="18" t="s">
        <v>336</v>
      </c>
    </row>
    <row r="90" spans="1:25" x14ac:dyDescent="0.2">
      <c r="A90" s="6"/>
      <c r="H90" s="6"/>
      <c r="I90" s="13"/>
      <c r="O90" t="s">
        <v>321</v>
      </c>
      <c r="P90" t="s">
        <v>322</v>
      </c>
      <c r="R90" t="s">
        <v>323</v>
      </c>
      <c r="S90" t="s">
        <v>324</v>
      </c>
      <c r="U90" t="s">
        <v>325</v>
      </c>
      <c r="V90" t="s">
        <v>326</v>
      </c>
      <c r="X90" t="s">
        <v>327</v>
      </c>
      <c r="Y90" t="s">
        <v>328</v>
      </c>
    </row>
    <row r="91" spans="1:25" x14ac:dyDescent="0.2">
      <c r="A91" s="6"/>
      <c r="H91" s="6"/>
      <c r="I91" s="13"/>
      <c r="O91" t="s">
        <v>312</v>
      </c>
      <c r="P91" t="s">
        <v>313</v>
      </c>
      <c r="R91" t="s">
        <v>314</v>
      </c>
      <c r="S91" t="s">
        <v>315</v>
      </c>
      <c r="U91" t="s">
        <v>316</v>
      </c>
      <c r="V91" t="s">
        <v>317</v>
      </c>
      <c r="X91" t="s">
        <v>318</v>
      </c>
      <c r="Y91" t="s">
        <v>319</v>
      </c>
    </row>
    <row r="92" spans="1:25" x14ac:dyDescent="0.2">
      <c r="A92" s="6"/>
      <c r="H92" s="6"/>
      <c r="I92" s="13"/>
      <c r="O92" t="s">
        <v>304</v>
      </c>
      <c r="P92" t="s">
        <v>305</v>
      </c>
      <c r="R92" t="s">
        <v>306</v>
      </c>
      <c r="S92" t="s">
        <v>307</v>
      </c>
      <c r="U92" t="s">
        <v>308</v>
      </c>
      <c r="V92" t="s">
        <v>309</v>
      </c>
      <c r="X92" t="s">
        <v>310</v>
      </c>
      <c r="Y92" t="s">
        <v>311</v>
      </c>
    </row>
    <row r="93" spans="1:25" x14ac:dyDescent="0.2">
      <c r="A93" s="6"/>
      <c r="H93" s="6"/>
      <c r="I93" s="13"/>
      <c r="O93" t="s">
        <v>296</v>
      </c>
      <c r="P93" t="s">
        <v>297</v>
      </c>
      <c r="R93" t="s">
        <v>298</v>
      </c>
      <c r="S93" t="s">
        <v>299</v>
      </c>
      <c r="U93" t="s">
        <v>300</v>
      </c>
      <c r="V93" t="s">
        <v>301</v>
      </c>
      <c r="X93" t="s">
        <v>302</v>
      </c>
      <c r="Y93" t="s">
        <v>303</v>
      </c>
    </row>
    <row r="94" spans="1:25" x14ac:dyDescent="0.2">
      <c r="A94" s="6"/>
      <c r="H94" s="6"/>
      <c r="I94" s="13"/>
      <c r="O94" t="s">
        <v>288</v>
      </c>
      <c r="P94" t="s">
        <v>289</v>
      </c>
      <c r="R94" t="s">
        <v>290</v>
      </c>
      <c r="S94" t="s">
        <v>291</v>
      </c>
      <c r="U94" t="s">
        <v>292</v>
      </c>
      <c r="V94" t="s">
        <v>293</v>
      </c>
      <c r="X94" t="s">
        <v>294</v>
      </c>
      <c r="Y94" t="s">
        <v>295</v>
      </c>
    </row>
    <row r="95" spans="1:25" x14ac:dyDescent="0.2">
      <c r="A95" s="6"/>
      <c r="H95" s="6"/>
      <c r="I95" s="13"/>
      <c r="O95" t="s">
        <v>280</v>
      </c>
      <c r="P95" t="s">
        <v>281</v>
      </c>
      <c r="R95" t="s">
        <v>282</v>
      </c>
      <c r="S95" t="s">
        <v>283</v>
      </c>
      <c r="U95" t="s">
        <v>284</v>
      </c>
      <c r="V95" t="s">
        <v>285</v>
      </c>
      <c r="X95" t="s">
        <v>286</v>
      </c>
      <c r="Y95" t="s">
        <v>287</v>
      </c>
    </row>
    <row r="96" spans="1:25" x14ac:dyDescent="0.2">
      <c r="A96" s="6"/>
      <c r="H96" s="6"/>
      <c r="I96" s="13"/>
      <c r="O96" t="s">
        <v>272</v>
      </c>
      <c r="P96" t="s">
        <v>273</v>
      </c>
      <c r="R96" t="s">
        <v>274</v>
      </c>
      <c r="S96" t="s">
        <v>275</v>
      </c>
      <c r="U96" t="s">
        <v>276</v>
      </c>
      <c r="V96" t="s">
        <v>277</v>
      </c>
      <c r="X96" t="s">
        <v>278</v>
      </c>
      <c r="Y96" t="s">
        <v>279</v>
      </c>
    </row>
    <row r="97" spans="1:25" x14ac:dyDescent="0.2">
      <c r="A97" s="6"/>
      <c r="H97" s="6"/>
      <c r="I97" s="13"/>
      <c r="O97" t="s">
        <v>268</v>
      </c>
      <c r="P97" t="s">
        <v>269</v>
      </c>
      <c r="R97" t="s">
        <v>270</v>
      </c>
      <c r="S97" t="s">
        <v>271</v>
      </c>
      <c r="U97" t="s">
        <v>32</v>
      </c>
      <c r="V97" t="s">
        <v>32</v>
      </c>
      <c r="X97" t="s">
        <v>32</v>
      </c>
      <c r="Y97" t="s">
        <v>32</v>
      </c>
    </row>
    <row r="98" spans="1:25" x14ac:dyDescent="0.2">
      <c r="A98" s="6"/>
      <c r="H98" s="6"/>
      <c r="I98" s="13"/>
      <c r="O98" t="s">
        <v>260</v>
      </c>
      <c r="P98" t="s">
        <v>261</v>
      </c>
      <c r="R98" t="s">
        <v>262</v>
      </c>
      <c r="S98" t="s">
        <v>263</v>
      </c>
      <c r="U98" t="s">
        <v>264</v>
      </c>
      <c r="V98" t="s">
        <v>265</v>
      </c>
      <c r="X98" t="s">
        <v>266</v>
      </c>
      <c r="Y98" t="s">
        <v>267</v>
      </c>
    </row>
    <row r="99" spans="1:25" x14ac:dyDescent="0.2">
      <c r="A99" s="6"/>
      <c r="H99" s="6"/>
      <c r="I99" s="13"/>
      <c r="O99" t="s">
        <v>254</v>
      </c>
      <c r="P99" t="s">
        <v>255</v>
      </c>
      <c r="R99" t="s">
        <v>256</v>
      </c>
      <c r="S99" t="s">
        <v>257</v>
      </c>
      <c r="U99" t="s">
        <v>258</v>
      </c>
      <c r="V99" t="s">
        <v>259</v>
      </c>
      <c r="X99" t="s">
        <v>32</v>
      </c>
      <c r="Y99" t="s">
        <v>32</v>
      </c>
    </row>
    <row r="100" spans="1:25" x14ac:dyDescent="0.2">
      <c r="A100" s="6"/>
      <c r="H100" s="6"/>
      <c r="I100" s="13"/>
      <c r="O100" t="s">
        <v>250</v>
      </c>
      <c r="P100" t="s">
        <v>251</v>
      </c>
      <c r="R100" t="s">
        <v>252</v>
      </c>
      <c r="S100" t="s">
        <v>253</v>
      </c>
      <c r="U100" t="s">
        <v>32</v>
      </c>
      <c r="V100" t="s">
        <v>32</v>
      </c>
      <c r="X100" t="s">
        <v>32</v>
      </c>
      <c r="Y100" t="s">
        <v>32</v>
      </c>
    </row>
    <row r="101" spans="1:25" x14ac:dyDescent="0.2">
      <c r="A101" s="6"/>
      <c r="H101" s="6"/>
      <c r="I101" s="13"/>
      <c r="O101" t="s">
        <v>242</v>
      </c>
      <c r="P101" t="s">
        <v>243</v>
      </c>
      <c r="R101" t="s">
        <v>244</v>
      </c>
      <c r="S101" t="s">
        <v>245</v>
      </c>
      <c r="U101" t="s">
        <v>246</v>
      </c>
      <c r="V101" t="s">
        <v>247</v>
      </c>
      <c r="X101" t="s">
        <v>248</v>
      </c>
      <c r="Y101" t="s">
        <v>249</v>
      </c>
    </row>
    <row r="102" spans="1:25" x14ac:dyDescent="0.2">
      <c r="A102" s="6"/>
      <c r="H102" s="6"/>
      <c r="I102" s="13"/>
      <c r="O102" t="s">
        <v>234</v>
      </c>
      <c r="P102" t="s">
        <v>235</v>
      </c>
      <c r="R102" t="s">
        <v>236</v>
      </c>
      <c r="S102" t="s">
        <v>237</v>
      </c>
      <c r="U102" t="s">
        <v>238</v>
      </c>
      <c r="V102" t="s">
        <v>239</v>
      </c>
      <c r="X102" t="s">
        <v>240</v>
      </c>
      <c r="Y102" t="s">
        <v>241</v>
      </c>
    </row>
    <row r="103" spans="1:25" x14ac:dyDescent="0.2">
      <c r="A103" s="6"/>
      <c r="H103" s="6"/>
      <c r="I103" s="13"/>
      <c r="O103" t="s">
        <v>226</v>
      </c>
      <c r="P103" t="s">
        <v>227</v>
      </c>
      <c r="R103" t="s">
        <v>228</v>
      </c>
      <c r="S103" t="s">
        <v>229</v>
      </c>
      <c r="U103" t="s">
        <v>230</v>
      </c>
      <c r="V103" t="s">
        <v>231</v>
      </c>
      <c r="X103" t="s">
        <v>232</v>
      </c>
      <c r="Y103" t="s">
        <v>233</v>
      </c>
    </row>
    <row r="104" spans="1:25" x14ac:dyDescent="0.2">
      <c r="A104" s="6"/>
      <c r="H104" s="6"/>
      <c r="I104" s="13"/>
      <c r="O104" t="s">
        <v>218</v>
      </c>
      <c r="P104" t="s">
        <v>219</v>
      </c>
      <c r="R104" t="s">
        <v>220</v>
      </c>
      <c r="S104" t="s">
        <v>221</v>
      </c>
      <c r="U104" t="s">
        <v>222</v>
      </c>
      <c r="V104" t="s">
        <v>223</v>
      </c>
      <c r="X104" t="s">
        <v>224</v>
      </c>
      <c r="Y104" t="s">
        <v>225</v>
      </c>
    </row>
    <row r="105" spans="1:25" x14ac:dyDescent="0.2">
      <c r="A105" s="6"/>
      <c r="H105" s="6"/>
      <c r="I105" s="13"/>
      <c r="O105" t="s">
        <v>210</v>
      </c>
      <c r="P105" t="s">
        <v>211</v>
      </c>
      <c r="R105" t="s">
        <v>212</v>
      </c>
      <c r="S105" t="s">
        <v>213</v>
      </c>
      <c r="U105" t="s">
        <v>214</v>
      </c>
      <c r="V105" t="s">
        <v>215</v>
      </c>
      <c r="X105" t="s">
        <v>216</v>
      </c>
      <c r="Y105" t="s">
        <v>217</v>
      </c>
    </row>
    <row r="106" spans="1:25" x14ac:dyDescent="0.2">
      <c r="A106" s="6"/>
      <c r="H106" s="6"/>
      <c r="I106" s="13"/>
      <c r="O106" t="s">
        <v>202</v>
      </c>
      <c r="P106" t="s">
        <v>203</v>
      </c>
      <c r="R106" t="s">
        <v>204</v>
      </c>
      <c r="S106" t="s">
        <v>205</v>
      </c>
      <c r="U106" t="s">
        <v>206</v>
      </c>
      <c r="V106" t="s">
        <v>207</v>
      </c>
      <c r="X106" t="s">
        <v>208</v>
      </c>
      <c r="Y106" t="s">
        <v>209</v>
      </c>
    </row>
    <row r="107" spans="1:25" x14ac:dyDescent="0.2">
      <c r="A107" s="6"/>
      <c r="H107" s="6"/>
      <c r="I107" s="13"/>
      <c r="O107" t="s">
        <v>194</v>
      </c>
      <c r="P107" t="s">
        <v>195</v>
      </c>
      <c r="R107" t="s">
        <v>196</v>
      </c>
      <c r="S107" t="s">
        <v>197</v>
      </c>
      <c r="U107" t="s">
        <v>198</v>
      </c>
      <c r="V107" t="s">
        <v>199</v>
      </c>
      <c r="X107" t="s">
        <v>200</v>
      </c>
      <c r="Y107" t="s">
        <v>201</v>
      </c>
    </row>
    <row r="108" spans="1:25" x14ac:dyDescent="0.2">
      <c r="A108" s="6"/>
      <c r="H108" s="6"/>
      <c r="I108" s="13"/>
      <c r="O108" t="s">
        <v>188</v>
      </c>
      <c r="P108" t="s">
        <v>189</v>
      </c>
      <c r="R108" t="s">
        <v>190</v>
      </c>
      <c r="S108" t="s">
        <v>191</v>
      </c>
      <c r="U108" t="s">
        <v>192</v>
      </c>
      <c r="V108" t="s">
        <v>193</v>
      </c>
      <c r="X108" t="s">
        <v>32</v>
      </c>
      <c r="Y108" t="s">
        <v>32</v>
      </c>
    </row>
    <row r="109" spans="1:25" x14ac:dyDescent="0.2">
      <c r="A109" s="6"/>
      <c r="H109" s="6"/>
      <c r="I109" s="13"/>
      <c r="O109" t="s">
        <v>180</v>
      </c>
      <c r="P109" t="s">
        <v>181</v>
      </c>
      <c r="R109" t="s">
        <v>182</v>
      </c>
      <c r="S109" t="s">
        <v>183</v>
      </c>
      <c r="U109" t="s">
        <v>184</v>
      </c>
      <c r="V109" t="s">
        <v>185</v>
      </c>
      <c r="X109" t="s">
        <v>186</v>
      </c>
      <c r="Y109" t="s">
        <v>187</v>
      </c>
    </row>
    <row r="110" spans="1:25" x14ac:dyDescent="0.2">
      <c r="A110" s="6"/>
      <c r="H110" s="6"/>
      <c r="I110" s="13"/>
      <c r="O110" t="s">
        <v>172</v>
      </c>
      <c r="P110" t="s">
        <v>173</v>
      </c>
      <c r="R110" t="s">
        <v>174</v>
      </c>
      <c r="S110" t="s">
        <v>175</v>
      </c>
      <c r="U110" t="s">
        <v>176</v>
      </c>
      <c r="V110" t="s">
        <v>177</v>
      </c>
      <c r="X110" t="s">
        <v>178</v>
      </c>
      <c r="Y110" t="s">
        <v>179</v>
      </c>
    </row>
    <row r="111" spans="1:25" x14ac:dyDescent="0.2">
      <c r="A111" s="6"/>
      <c r="H111" s="6"/>
      <c r="I111" s="13"/>
      <c r="O111" t="s">
        <v>164</v>
      </c>
      <c r="P111" t="s">
        <v>165</v>
      </c>
      <c r="R111" t="s">
        <v>166</v>
      </c>
      <c r="S111" t="s">
        <v>167</v>
      </c>
      <c r="U111" t="s">
        <v>168</v>
      </c>
      <c r="V111" t="s">
        <v>169</v>
      </c>
      <c r="X111" t="s">
        <v>170</v>
      </c>
      <c r="Y111" t="s">
        <v>171</v>
      </c>
    </row>
    <row r="112" spans="1:25" x14ac:dyDescent="0.2">
      <c r="A112" s="6"/>
      <c r="H112" s="6"/>
      <c r="I112" s="13"/>
      <c r="O112" t="s">
        <v>158</v>
      </c>
      <c r="P112" t="s">
        <v>159</v>
      </c>
      <c r="R112" t="s">
        <v>160</v>
      </c>
      <c r="S112" t="s">
        <v>161</v>
      </c>
      <c r="U112" t="s">
        <v>162</v>
      </c>
      <c r="V112" t="s">
        <v>163</v>
      </c>
      <c r="X112" t="s">
        <v>32</v>
      </c>
      <c r="Y112" t="s">
        <v>32</v>
      </c>
    </row>
    <row r="113" spans="1:25" x14ac:dyDescent="0.2">
      <c r="A113" s="6"/>
      <c r="H113" s="6"/>
      <c r="I113" s="13"/>
      <c r="O113" t="s">
        <v>150</v>
      </c>
      <c r="P113" t="s">
        <v>151</v>
      </c>
      <c r="R113" t="s">
        <v>152</v>
      </c>
      <c r="S113" t="s">
        <v>153</v>
      </c>
      <c r="U113" t="s">
        <v>154</v>
      </c>
      <c r="V113" t="s">
        <v>155</v>
      </c>
      <c r="X113" t="s">
        <v>156</v>
      </c>
      <c r="Y113" t="s">
        <v>157</v>
      </c>
    </row>
    <row r="114" spans="1:25" x14ac:dyDescent="0.2">
      <c r="A114" s="6"/>
      <c r="H114" s="6"/>
      <c r="I114" s="13"/>
      <c r="O114" t="s">
        <v>142</v>
      </c>
      <c r="P114" t="s">
        <v>143</v>
      </c>
      <c r="R114" t="s">
        <v>144</v>
      </c>
      <c r="S114" t="s">
        <v>145</v>
      </c>
      <c r="U114" t="s">
        <v>146</v>
      </c>
      <c r="V114" t="s">
        <v>147</v>
      </c>
      <c r="X114" t="s">
        <v>148</v>
      </c>
      <c r="Y114" t="s">
        <v>149</v>
      </c>
    </row>
    <row r="115" spans="1:25" x14ac:dyDescent="0.2">
      <c r="A115" s="6"/>
      <c r="H115" s="6"/>
      <c r="I115" s="13"/>
      <c r="O115" t="s">
        <v>112</v>
      </c>
      <c r="P115" t="s">
        <v>113</v>
      </c>
      <c r="R115" t="s">
        <v>114</v>
      </c>
      <c r="S115" t="s">
        <v>115</v>
      </c>
      <c r="U115" t="s">
        <v>116</v>
      </c>
      <c r="V115" t="s">
        <v>117</v>
      </c>
      <c r="X115" t="s">
        <v>118</v>
      </c>
      <c r="Y115" t="s">
        <v>119</v>
      </c>
    </row>
    <row r="116" spans="1:25" x14ac:dyDescent="0.2">
      <c r="A116" s="6"/>
      <c r="H116" s="6"/>
      <c r="I116" s="13"/>
      <c r="O116" t="s">
        <v>104</v>
      </c>
      <c r="P116" t="s">
        <v>105</v>
      </c>
      <c r="R116" t="s">
        <v>106</v>
      </c>
      <c r="S116" t="s">
        <v>107</v>
      </c>
      <c r="U116" t="s">
        <v>108</v>
      </c>
      <c r="V116" t="s">
        <v>109</v>
      </c>
      <c r="X116" t="s">
        <v>110</v>
      </c>
      <c r="Y116" t="s">
        <v>111</v>
      </c>
    </row>
    <row r="117" spans="1:25" x14ac:dyDescent="0.2">
      <c r="A117" s="6"/>
      <c r="H117" s="6"/>
      <c r="I117" s="13"/>
      <c r="O117" t="s">
        <v>96</v>
      </c>
      <c r="P117" t="s">
        <v>97</v>
      </c>
      <c r="R117" t="s">
        <v>98</v>
      </c>
      <c r="S117" t="s">
        <v>99</v>
      </c>
      <c r="U117" t="s">
        <v>100</v>
      </c>
      <c r="V117" t="s">
        <v>101</v>
      </c>
      <c r="X117" t="s">
        <v>102</v>
      </c>
      <c r="Y117" t="s">
        <v>103</v>
      </c>
    </row>
    <row r="118" spans="1:25" x14ac:dyDescent="0.2">
      <c r="A118" s="6"/>
      <c r="H118" s="6"/>
      <c r="I118" s="13"/>
      <c r="O118" t="s">
        <v>88</v>
      </c>
      <c r="P118" t="s">
        <v>89</v>
      </c>
      <c r="R118" t="s">
        <v>90</v>
      </c>
      <c r="S118" t="s">
        <v>91</v>
      </c>
      <c r="U118" t="s">
        <v>92</v>
      </c>
      <c r="V118" t="s">
        <v>93</v>
      </c>
      <c r="X118" t="s">
        <v>94</v>
      </c>
      <c r="Y118" t="s">
        <v>95</v>
      </c>
    </row>
    <row r="119" spans="1:25" x14ac:dyDescent="0.2">
      <c r="A119" s="6"/>
      <c r="H119" s="6"/>
      <c r="I119" s="13"/>
      <c r="O119" t="s">
        <v>80</v>
      </c>
      <c r="P119" t="s">
        <v>81</v>
      </c>
      <c r="R119" t="s">
        <v>82</v>
      </c>
      <c r="S119" t="s">
        <v>83</v>
      </c>
      <c r="U119" t="s">
        <v>84</v>
      </c>
      <c r="V119" t="s">
        <v>85</v>
      </c>
      <c r="X119" t="s">
        <v>86</v>
      </c>
      <c r="Y119" t="s">
        <v>87</v>
      </c>
    </row>
    <row r="120" spans="1:25" x14ac:dyDescent="0.2">
      <c r="A120" s="6"/>
      <c r="H120" s="6"/>
      <c r="I120" s="13"/>
      <c r="O120" t="s">
        <v>71</v>
      </c>
      <c r="P120" t="s">
        <v>72</v>
      </c>
      <c r="R120" t="s">
        <v>73</v>
      </c>
      <c r="S120" t="s">
        <v>74</v>
      </c>
      <c r="U120" t="s">
        <v>75</v>
      </c>
      <c r="V120" t="s">
        <v>76</v>
      </c>
      <c r="X120" t="s">
        <v>77</v>
      </c>
      <c r="Y120" t="s">
        <v>78</v>
      </c>
    </row>
    <row r="121" spans="1:25" x14ac:dyDescent="0.2">
      <c r="A121" s="6"/>
      <c r="H121" s="6"/>
      <c r="I121" s="13"/>
      <c r="O121" t="s">
        <v>68</v>
      </c>
      <c r="P121" t="s">
        <v>69</v>
      </c>
      <c r="R121" t="s">
        <v>70</v>
      </c>
      <c r="S121" t="s">
        <v>79</v>
      </c>
      <c r="U121" t="s">
        <v>32</v>
      </c>
      <c r="V121" t="s">
        <v>32</v>
      </c>
      <c r="X121" t="s">
        <v>32</v>
      </c>
      <c r="Y121" t="s">
        <v>32</v>
      </c>
    </row>
    <row r="122" spans="1:25" x14ac:dyDescent="0.2">
      <c r="A122" s="6"/>
      <c r="H122" s="6"/>
      <c r="I122" s="13"/>
      <c r="O122" t="s">
        <v>62</v>
      </c>
      <c r="P122" t="s">
        <v>63</v>
      </c>
      <c r="R122" t="s">
        <v>64</v>
      </c>
      <c r="S122" t="s">
        <v>65</v>
      </c>
      <c r="U122" t="s">
        <v>66</v>
      </c>
      <c r="V122" t="s">
        <v>67</v>
      </c>
      <c r="X122" t="s">
        <v>32</v>
      </c>
      <c r="Y122" t="s">
        <v>32</v>
      </c>
    </row>
    <row r="123" spans="1:25" x14ac:dyDescent="0.2">
      <c r="A123" s="6"/>
      <c r="H123" s="6"/>
      <c r="I123" s="13"/>
      <c r="O123" t="s">
        <v>54</v>
      </c>
      <c r="P123" t="s">
        <v>55</v>
      </c>
      <c r="R123" t="s">
        <v>56</v>
      </c>
      <c r="S123" t="s">
        <v>57</v>
      </c>
      <c r="U123" t="s">
        <v>58</v>
      </c>
      <c r="V123" t="s">
        <v>59</v>
      </c>
      <c r="X123" t="s">
        <v>60</v>
      </c>
      <c r="Y123" t="s">
        <v>61</v>
      </c>
    </row>
    <row r="124" spans="1:25" x14ac:dyDescent="0.2">
      <c r="A124" s="6"/>
      <c r="H124" s="6"/>
      <c r="I124" s="13"/>
      <c r="O124" t="s">
        <v>46</v>
      </c>
      <c r="P124" t="s">
        <v>47</v>
      </c>
      <c r="R124" t="s">
        <v>48</v>
      </c>
      <c r="S124" t="s">
        <v>49</v>
      </c>
      <c r="U124" t="s">
        <v>50</v>
      </c>
      <c r="V124" t="s">
        <v>51</v>
      </c>
      <c r="X124" t="s">
        <v>52</v>
      </c>
      <c r="Y124" t="s">
        <v>53</v>
      </c>
    </row>
    <row r="125" spans="1:25" x14ac:dyDescent="0.2">
      <c r="A125" s="6"/>
      <c r="H125" s="6"/>
      <c r="I125" s="13"/>
      <c r="O125" t="s">
        <v>40</v>
      </c>
      <c r="P125" t="s">
        <v>41</v>
      </c>
      <c r="R125" t="s">
        <v>42</v>
      </c>
      <c r="S125" t="s">
        <v>43</v>
      </c>
      <c r="U125" t="s">
        <v>44</v>
      </c>
      <c r="V125" t="s">
        <v>45</v>
      </c>
      <c r="X125" t="s">
        <v>32</v>
      </c>
      <c r="Y125" t="s">
        <v>32</v>
      </c>
    </row>
    <row r="126" spans="1:25" x14ac:dyDescent="0.2">
      <c r="A126" s="6"/>
      <c r="H126" s="6"/>
      <c r="I126" s="13"/>
      <c r="O126" t="s">
        <v>34</v>
      </c>
      <c r="P126" t="s">
        <v>35</v>
      </c>
      <c r="R126" t="s">
        <v>36</v>
      </c>
      <c r="S126" t="s">
        <v>37</v>
      </c>
      <c r="U126" t="s">
        <v>38</v>
      </c>
      <c r="V126" t="s">
        <v>39</v>
      </c>
      <c r="X126" t="s">
        <v>32</v>
      </c>
      <c r="Y126" t="s">
        <v>32</v>
      </c>
    </row>
    <row r="127" spans="1:25" x14ac:dyDescent="0.2">
      <c r="A127" s="6"/>
      <c r="H127" s="6"/>
      <c r="I127" s="13"/>
      <c r="O127" t="s">
        <v>26</v>
      </c>
      <c r="P127" t="s">
        <v>27</v>
      </c>
      <c r="R127" t="s">
        <v>28</v>
      </c>
      <c r="S127" t="s">
        <v>29</v>
      </c>
      <c r="U127" t="s">
        <v>30</v>
      </c>
      <c r="V127" t="s">
        <v>31</v>
      </c>
      <c r="X127" t="s">
        <v>32</v>
      </c>
      <c r="Y127" t="s">
        <v>32</v>
      </c>
    </row>
    <row r="128" spans="1:25" x14ac:dyDescent="0.2">
      <c r="A128" s="6"/>
      <c r="H128" s="6"/>
      <c r="I128" s="13"/>
      <c r="O128" t="s">
        <v>18</v>
      </c>
      <c r="P128" t="s">
        <v>19</v>
      </c>
      <c r="R128" t="s">
        <v>20</v>
      </c>
      <c r="S128" t="s">
        <v>21</v>
      </c>
      <c r="U128" t="s">
        <v>22</v>
      </c>
      <c r="V128" t="s">
        <v>23</v>
      </c>
      <c r="X128" t="s">
        <v>24</v>
      </c>
      <c r="Y128" t="s">
        <v>25</v>
      </c>
    </row>
    <row r="129" spans="1:9" x14ac:dyDescent="0.2">
      <c r="A129" s="6"/>
      <c r="H129" s="6"/>
      <c r="I129" s="13"/>
    </row>
    <row r="130" spans="1:9" x14ac:dyDescent="0.2">
      <c r="A130" s="6"/>
      <c r="H130" s="6"/>
      <c r="I130" s="13"/>
    </row>
    <row r="131" spans="1:9" x14ac:dyDescent="0.2">
      <c r="A131" s="6"/>
      <c r="H131" s="6"/>
      <c r="I131" s="13"/>
    </row>
    <row r="132" spans="1:9" x14ac:dyDescent="0.2">
      <c r="A132" s="6"/>
      <c r="H132" s="6"/>
      <c r="I132" s="13"/>
    </row>
    <row r="133" spans="1:9" x14ac:dyDescent="0.2">
      <c r="A133" s="6"/>
      <c r="H133" s="6"/>
      <c r="I133" s="13"/>
    </row>
    <row r="134" spans="1:9" x14ac:dyDescent="0.2">
      <c r="A134" s="6"/>
      <c r="H134" s="6"/>
      <c r="I134" s="13"/>
    </row>
    <row r="135" spans="1:9" x14ac:dyDescent="0.2">
      <c r="A135" s="6"/>
      <c r="H135" s="6"/>
      <c r="I135" s="13"/>
    </row>
    <row r="136" spans="1:9" x14ac:dyDescent="0.2">
      <c r="A136" s="6"/>
      <c r="H136" s="6"/>
      <c r="I136" s="13"/>
    </row>
    <row r="137" spans="1:9" x14ac:dyDescent="0.2">
      <c r="A137" s="6"/>
      <c r="H137" s="6"/>
      <c r="I137" s="13"/>
    </row>
    <row r="138" spans="1:9" x14ac:dyDescent="0.2">
      <c r="A138" s="6"/>
      <c r="H138" s="6"/>
      <c r="I138" s="13"/>
    </row>
    <row r="139" spans="1:9" x14ac:dyDescent="0.2">
      <c r="A139" s="6"/>
      <c r="H139" s="6"/>
      <c r="I139" s="13"/>
    </row>
    <row r="140" spans="1:9" x14ac:dyDescent="0.2">
      <c r="A140" s="6"/>
      <c r="H140" s="6"/>
      <c r="I140" s="13"/>
    </row>
    <row r="141" spans="1:9" x14ac:dyDescent="0.2">
      <c r="A141" s="6"/>
      <c r="H141" s="6"/>
      <c r="I141" s="13"/>
    </row>
    <row r="142" spans="1:9" x14ac:dyDescent="0.2">
      <c r="A142" s="6"/>
      <c r="H142" s="6"/>
      <c r="I142" s="13"/>
    </row>
    <row r="143" spans="1:9" x14ac:dyDescent="0.2">
      <c r="A143" s="6"/>
      <c r="H143" s="6"/>
      <c r="I143" s="13"/>
    </row>
    <row r="144" spans="1:9" x14ac:dyDescent="0.2">
      <c r="A144" s="6"/>
      <c r="H144" s="6"/>
      <c r="I144" s="13"/>
    </row>
    <row r="145" spans="1:9" x14ac:dyDescent="0.2">
      <c r="A145" s="6"/>
      <c r="H145" s="6"/>
      <c r="I145" s="13"/>
    </row>
    <row r="146" spans="1:9" x14ac:dyDescent="0.2">
      <c r="A146" s="6"/>
      <c r="H146" s="6"/>
      <c r="I146" s="13"/>
    </row>
    <row r="147" spans="1:9" x14ac:dyDescent="0.2">
      <c r="A147" s="6"/>
      <c r="H147" s="6"/>
      <c r="I147" s="13"/>
    </row>
    <row r="148" spans="1:9" x14ac:dyDescent="0.2">
      <c r="A148" s="6"/>
      <c r="F148" s="13"/>
    </row>
    <row r="149" spans="1:9" x14ac:dyDescent="0.2">
      <c r="A149" s="6"/>
      <c r="F149" s="13"/>
    </row>
    <row r="150" spans="1:9" x14ac:dyDescent="0.2">
      <c r="A150" s="6"/>
      <c r="F150" s="13"/>
    </row>
    <row r="151" spans="1:9" x14ac:dyDescent="0.2">
      <c r="A151" s="6"/>
      <c r="F151" s="13"/>
    </row>
    <row r="152" spans="1:9" x14ac:dyDescent="0.2">
      <c r="A152" s="6"/>
      <c r="F152" s="13"/>
    </row>
    <row r="153" spans="1:9" x14ac:dyDescent="0.2">
      <c r="A153" s="6"/>
      <c r="F153" s="13"/>
    </row>
    <row r="154" spans="1:9" x14ac:dyDescent="0.2">
      <c r="A154" s="6"/>
      <c r="F154" s="13"/>
    </row>
    <row r="155" spans="1:9" x14ac:dyDescent="0.2">
      <c r="A155" s="6"/>
      <c r="F155" s="13"/>
    </row>
    <row r="156" spans="1:9" x14ac:dyDescent="0.2">
      <c r="A156" s="6"/>
      <c r="F156" s="13"/>
    </row>
    <row r="157" spans="1:9" x14ac:dyDescent="0.2">
      <c r="A157" s="6"/>
      <c r="F157" s="13"/>
    </row>
    <row r="158" spans="1:9" x14ac:dyDescent="0.2">
      <c r="A158" s="6"/>
    </row>
    <row r="159" spans="1:9" x14ac:dyDescent="0.2">
      <c r="A159" s="6"/>
    </row>
    <row r="160" spans="1:9" x14ac:dyDescent="0.2">
      <c r="A160" s="6"/>
    </row>
    <row r="161" spans="1:3" x14ac:dyDescent="0.2">
      <c r="A161" s="6"/>
    </row>
    <row r="162" spans="1:3" x14ac:dyDescent="0.2">
      <c r="A162" s="6"/>
    </row>
    <row r="163" spans="1:3" x14ac:dyDescent="0.2">
      <c r="A163" s="6"/>
    </row>
    <row r="164" spans="1:3" x14ac:dyDescent="0.2">
      <c r="A164" s="6"/>
    </row>
    <row r="165" spans="1:3" x14ac:dyDescent="0.2">
      <c r="A165" s="6"/>
    </row>
    <row r="166" spans="1:3" x14ac:dyDescent="0.2">
      <c r="A166" s="6"/>
    </row>
    <row r="167" spans="1:3" x14ac:dyDescent="0.2">
      <c r="A167" s="6"/>
    </row>
    <row r="168" spans="1:3" x14ac:dyDescent="0.2">
      <c r="A168" s="6"/>
    </row>
    <row r="169" spans="1:3" x14ac:dyDescent="0.2">
      <c r="A169" s="6"/>
    </row>
    <row r="171" spans="1:3" x14ac:dyDescent="0.2">
      <c r="C171" t="str">
        <f>IF(C169&gt;B169,C169-B169,"")</f>
        <v/>
      </c>
    </row>
  </sheetData>
  <sheetProtection selectLockedCells="1"/>
  <mergeCells count="2">
    <mergeCell ref="E16:F16"/>
    <mergeCell ref="B16:C16"/>
  </mergeCells>
  <conditionalFormatting sqref="A17">
    <cfRule type="expression" dxfId="435" priority="575">
      <formula>$B$17&gt;$C$17</formula>
    </cfRule>
    <cfRule type="expression" dxfId="434" priority="576">
      <formula>$B$17&lt;$C$17</formula>
    </cfRule>
  </conditionalFormatting>
  <conditionalFormatting sqref="A130">
    <cfRule type="expression" dxfId="433" priority="567">
      <formula>B130&gt;C130</formula>
    </cfRule>
    <cfRule type="expression" dxfId="432" priority="568">
      <formula>B130&lt;C130</formula>
    </cfRule>
  </conditionalFormatting>
  <conditionalFormatting sqref="A131:A139">
    <cfRule type="expression" dxfId="431" priority="563">
      <formula>B131&gt;C131</formula>
    </cfRule>
    <cfRule type="expression" dxfId="430" priority="564">
      <formula>B131&lt;C131</formula>
    </cfRule>
  </conditionalFormatting>
  <conditionalFormatting sqref="A140:A147">
    <cfRule type="expression" dxfId="429" priority="561">
      <formula>B140&gt;C140</formula>
    </cfRule>
    <cfRule type="expression" dxfId="428" priority="562">
      <formula>B140&lt;C140</formula>
    </cfRule>
  </conditionalFormatting>
  <conditionalFormatting sqref="H130">
    <cfRule type="expression" dxfId="427" priority="559">
      <formula>B130&gt;C130</formula>
    </cfRule>
    <cfRule type="expression" dxfId="426" priority="560">
      <formula>B130&lt;C130</formula>
    </cfRule>
  </conditionalFormatting>
  <conditionalFormatting sqref="H131:H147">
    <cfRule type="expression" dxfId="425" priority="557">
      <formula>B131&gt;C131</formula>
    </cfRule>
    <cfRule type="expression" dxfId="424" priority="558">
      <formula>B131&lt;C131</formula>
    </cfRule>
  </conditionalFormatting>
  <conditionalFormatting sqref="A129">
    <cfRule type="expression" dxfId="423" priority="499">
      <formula>B129&gt;C129</formula>
    </cfRule>
    <cfRule type="expression" dxfId="422" priority="500">
      <formula>B129&lt;C129</formula>
    </cfRule>
  </conditionalFormatting>
  <conditionalFormatting sqref="H129">
    <cfRule type="expression" dxfId="421" priority="497">
      <formula>B129&gt;C129</formula>
    </cfRule>
    <cfRule type="expression" dxfId="420" priority="498">
      <formula>B129&lt;C129</formula>
    </cfRule>
  </conditionalFormatting>
  <conditionalFormatting sqref="A128">
    <cfRule type="expression" dxfId="419" priority="487">
      <formula>B128&gt;C128</formula>
    </cfRule>
    <cfRule type="expression" dxfId="418" priority="488">
      <formula>B128&lt;C128</formula>
    </cfRule>
  </conditionalFormatting>
  <conditionalFormatting sqref="H128">
    <cfRule type="expression" dxfId="417" priority="485">
      <formula>B128&gt;C128</formula>
    </cfRule>
    <cfRule type="expression" dxfId="416" priority="486">
      <formula>B128&lt;C128</formula>
    </cfRule>
  </conditionalFormatting>
  <conditionalFormatting sqref="A127">
    <cfRule type="expression" dxfId="415" priority="483">
      <formula>B127&gt;C127</formula>
    </cfRule>
    <cfRule type="expression" dxfId="414" priority="484">
      <formula>B127&lt;C127</formula>
    </cfRule>
  </conditionalFormatting>
  <conditionalFormatting sqref="H127">
    <cfRule type="expression" dxfId="413" priority="481">
      <formula>B127&gt;C127</formula>
    </cfRule>
    <cfRule type="expression" dxfId="412" priority="482">
      <formula>B127&lt;C127</formula>
    </cfRule>
  </conditionalFormatting>
  <conditionalFormatting sqref="A126">
    <cfRule type="expression" dxfId="411" priority="479">
      <formula>B126&gt;C126</formula>
    </cfRule>
    <cfRule type="expression" dxfId="410" priority="480">
      <formula>B126&lt;C126</formula>
    </cfRule>
  </conditionalFormatting>
  <conditionalFormatting sqref="H126">
    <cfRule type="expression" dxfId="409" priority="477">
      <formula>B126&gt;C126</formula>
    </cfRule>
    <cfRule type="expression" dxfId="408" priority="478">
      <formula>B126&lt;C126</formula>
    </cfRule>
  </conditionalFormatting>
  <conditionalFormatting sqref="A125">
    <cfRule type="expression" dxfId="407" priority="475">
      <formula>B125&gt;C125</formula>
    </cfRule>
    <cfRule type="expression" dxfId="406" priority="476">
      <formula>B125&lt;C125</formula>
    </cfRule>
  </conditionalFormatting>
  <conditionalFormatting sqref="H125">
    <cfRule type="expression" dxfId="405" priority="473">
      <formula>B125&gt;C125</formula>
    </cfRule>
    <cfRule type="expression" dxfId="404" priority="474">
      <formula>B125&lt;C125</formula>
    </cfRule>
  </conditionalFormatting>
  <conditionalFormatting sqref="A124">
    <cfRule type="expression" dxfId="403" priority="471">
      <formula>B124&gt;C124</formula>
    </cfRule>
    <cfRule type="expression" dxfId="402" priority="472">
      <formula>B124&lt;C124</formula>
    </cfRule>
  </conditionalFormatting>
  <conditionalFormatting sqref="H124">
    <cfRule type="expression" dxfId="401" priority="469">
      <formula>B124&gt;C124</formula>
    </cfRule>
    <cfRule type="expression" dxfId="400" priority="470">
      <formula>B124&lt;C124</formula>
    </cfRule>
  </conditionalFormatting>
  <conditionalFormatting sqref="A123">
    <cfRule type="expression" dxfId="399" priority="467">
      <formula>B123&gt;C123</formula>
    </cfRule>
    <cfRule type="expression" dxfId="398" priority="468">
      <formula>B123&lt;C123</formula>
    </cfRule>
  </conditionalFormatting>
  <conditionalFormatting sqref="H123">
    <cfRule type="expression" dxfId="397" priority="465">
      <formula>B123&gt;C123</formula>
    </cfRule>
    <cfRule type="expression" dxfId="396" priority="466">
      <formula>B123&lt;C123</formula>
    </cfRule>
  </conditionalFormatting>
  <conditionalFormatting sqref="A122">
    <cfRule type="expression" dxfId="395" priority="463">
      <formula>B122&gt;C122</formula>
    </cfRule>
    <cfRule type="expression" dxfId="394" priority="464">
      <formula>B122&lt;C122</formula>
    </cfRule>
  </conditionalFormatting>
  <conditionalFormatting sqref="H122">
    <cfRule type="expression" dxfId="393" priority="461">
      <formula>B122&gt;C122</formula>
    </cfRule>
    <cfRule type="expression" dxfId="392" priority="462">
      <formula>B122&lt;C122</formula>
    </cfRule>
  </conditionalFormatting>
  <conditionalFormatting sqref="A121">
    <cfRule type="expression" dxfId="391" priority="459">
      <formula>B121&gt;C121</formula>
    </cfRule>
    <cfRule type="expression" dxfId="390" priority="460">
      <formula>B121&lt;C121</formula>
    </cfRule>
  </conditionalFormatting>
  <conditionalFormatting sqref="H121">
    <cfRule type="expression" dxfId="389" priority="457">
      <formula>B121&gt;C121</formula>
    </cfRule>
    <cfRule type="expression" dxfId="388" priority="458">
      <formula>B121&lt;C121</formula>
    </cfRule>
  </conditionalFormatting>
  <conditionalFormatting sqref="A120">
    <cfRule type="expression" dxfId="387" priority="455">
      <formula>B120&gt;C120</formula>
    </cfRule>
    <cfRule type="expression" dxfId="386" priority="456">
      <formula>B120&lt;C120</formula>
    </cfRule>
  </conditionalFormatting>
  <conditionalFormatting sqref="H120">
    <cfRule type="expression" dxfId="385" priority="453">
      <formula>B120&gt;C120</formula>
    </cfRule>
    <cfRule type="expression" dxfId="384" priority="454">
      <formula>B120&lt;C120</formula>
    </cfRule>
  </conditionalFormatting>
  <conditionalFormatting sqref="A119">
    <cfRule type="expression" dxfId="383" priority="403">
      <formula>B119&gt;C119</formula>
    </cfRule>
    <cfRule type="expression" dxfId="382" priority="404">
      <formula>B119&lt;C119</formula>
    </cfRule>
  </conditionalFormatting>
  <conditionalFormatting sqref="H119">
    <cfRule type="expression" dxfId="381" priority="401">
      <formula>B119&gt;C119</formula>
    </cfRule>
    <cfRule type="expression" dxfId="380" priority="402">
      <formula>B119&lt;C119</formula>
    </cfRule>
  </conditionalFormatting>
  <conditionalFormatting sqref="A118">
    <cfRule type="expression" dxfId="379" priority="399">
      <formula>B118&gt;C118</formula>
    </cfRule>
    <cfRule type="expression" dxfId="378" priority="400">
      <formula>B118&lt;C118</formula>
    </cfRule>
  </conditionalFormatting>
  <conditionalFormatting sqref="H118">
    <cfRule type="expression" dxfId="377" priority="397">
      <formula>B118&gt;C118</formula>
    </cfRule>
    <cfRule type="expression" dxfId="376" priority="398">
      <formula>B118&lt;C118</formula>
    </cfRule>
  </conditionalFormatting>
  <conditionalFormatting sqref="A117">
    <cfRule type="expression" dxfId="375" priority="395">
      <formula>B117&gt;C117</formula>
    </cfRule>
    <cfRule type="expression" dxfId="374" priority="396">
      <formula>B117&lt;C117</formula>
    </cfRule>
  </conditionalFormatting>
  <conditionalFormatting sqref="H117">
    <cfRule type="expression" dxfId="373" priority="393">
      <formula>B117&gt;C117</formula>
    </cfRule>
    <cfRule type="expression" dxfId="372" priority="394">
      <formula>B117&lt;C117</formula>
    </cfRule>
  </conditionalFormatting>
  <conditionalFormatting sqref="A116">
    <cfRule type="expression" dxfId="371" priority="391">
      <formula>B116&gt;C116</formula>
    </cfRule>
    <cfRule type="expression" dxfId="370" priority="392">
      <formula>B116&lt;C116</formula>
    </cfRule>
  </conditionalFormatting>
  <conditionalFormatting sqref="H116">
    <cfRule type="expression" dxfId="369" priority="389">
      <formula>B116&gt;C116</formula>
    </cfRule>
    <cfRule type="expression" dxfId="368" priority="390">
      <formula>B116&lt;C116</formula>
    </cfRule>
  </conditionalFormatting>
  <conditionalFormatting sqref="A115">
    <cfRule type="expression" dxfId="367" priority="387">
      <formula>B115&gt;C115</formula>
    </cfRule>
    <cfRule type="expression" dxfId="366" priority="388">
      <formula>B115&lt;C115</formula>
    </cfRule>
  </conditionalFormatting>
  <conditionalFormatting sqref="H115">
    <cfRule type="expression" dxfId="365" priority="385">
      <formula>B115&gt;C115</formula>
    </cfRule>
    <cfRule type="expression" dxfId="364" priority="386">
      <formula>B115&lt;C115</formula>
    </cfRule>
  </conditionalFormatting>
  <conditionalFormatting sqref="A114">
    <cfRule type="expression" dxfId="363" priority="383">
      <formula>B114&gt;C114</formula>
    </cfRule>
    <cfRule type="expression" dxfId="362" priority="384">
      <formula>B114&lt;C114</formula>
    </cfRule>
  </conditionalFormatting>
  <conditionalFormatting sqref="H114">
    <cfRule type="expression" dxfId="361" priority="381">
      <formula>B114&gt;C114</formula>
    </cfRule>
    <cfRule type="expression" dxfId="360" priority="382">
      <formula>B114&lt;C114</formula>
    </cfRule>
  </conditionalFormatting>
  <conditionalFormatting sqref="A113">
    <cfRule type="expression" dxfId="359" priority="379">
      <formula>B113&gt;C113</formula>
    </cfRule>
    <cfRule type="expression" dxfId="358" priority="380">
      <formula>B113&lt;C113</formula>
    </cfRule>
  </conditionalFormatting>
  <conditionalFormatting sqref="H113">
    <cfRule type="expression" dxfId="357" priority="377">
      <formula>B113&gt;C113</formula>
    </cfRule>
    <cfRule type="expression" dxfId="356" priority="378">
      <formula>B113&lt;C113</formula>
    </cfRule>
  </conditionalFormatting>
  <conditionalFormatting sqref="A112">
    <cfRule type="expression" dxfId="355" priority="375">
      <formula>B112&gt;C112</formula>
    </cfRule>
    <cfRule type="expression" dxfId="354" priority="376">
      <formula>B112&lt;C112</formula>
    </cfRule>
  </conditionalFormatting>
  <conditionalFormatting sqref="H112">
    <cfRule type="expression" dxfId="353" priority="373">
      <formula>B112&gt;C112</formula>
    </cfRule>
    <cfRule type="expression" dxfId="352" priority="374">
      <formula>B112&lt;C112</formula>
    </cfRule>
  </conditionalFormatting>
  <conditionalFormatting sqref="A111">
    <cfRule type="expression" dxfId="351" priority="371">
      <formula>B111&gt;C111</formula>
    </cfRule>
    <cfRule type="expression" dxfId="350" priority="372">
      <formula>B111&lt;C111</formula>
    </cfRule>
  </conditionalFormatting>
  <conditionalFormatting sqref="H111">
    <cfRule type="expression" dxfId="349" priority="369">
      <formula>B111&gt;C111</formula>
    </cfRule>
    <cfRule type="expression" dxfId="348" priority="370">
      <formula>B111&lt;C111</formula>
    </cfRule>
  </conditionalFormatting>
  <conditionalFormatting sqref="A110">
    <cfRule type="expression" dxfId="347" priority="367">
      <formula>B110&gt;C110</formula>
    </cfRule>
    <cfRule type="expression" dxfId="346" priority="368">
      <formula>B110&lt;C110</formula>
    </cfRule>
  </conditionalFormatting>
  <conditionalFormatting sqref="H110">
    <cfRule type="expression" dxfId="345" priority="365">
      <formula>B110&gt;C110</formula>
    </cfRule>
    <cfRule type="expression" dxfId="344" priority="366">
      <formula>B110&lt;C110</formula>
    </cfRule>
  </conditionalFormatting>
  <conditionalFormatting sqref="A109">
    <cfRule type="expression" dxfId="343" priority="363">
      <formula>B109&gt;C109</formula>
    </cfRule>
    <cfRule type="expression" dxfId="342" priority="364">
      <formula>B109&lt;C109</formula>
    </cfRule>
  </conditionalFormatting>
  <conditionalFormatting sqref="H109">
    <cfRule type="expression" dxfId="341" priority="361">
      <formula>B109&gt;C109</formula>
    </cfRule>
    <cfRule type="expression" dxfId="340" priority="362">
      <formula>B109&lt;C109</formula>
    </cfRule>
  </conditionalFormatting>
  <conditionalFormatting sqref="A108">
    <cfRule type="expression" dxfId="339" priority="359">
      <formula>B108&gt;C108</formula>
    </cfRule>
    <cfRule type="expression" dxfId="338" priority="360">
      <formula>B108&lt;C108</formula>
    </cfRule>
  </conditionalFormatting>
  <conditionalFormatting sqref="H108">
    <cfRule type="expression" dxfId="337" priority="357">
      <formula>B108&gt;C108</formula>
    </cfRule>
    <cfRule type="expression" dxfId="336" priority="358">
      <formula>B108&lt;C108</formula>
    </cfRule>
  </conditionalFormatting>
  <conditionalFormatting sqref="A107">
    <cfRule type="expression" dxfId="335" priority="355">
      <formula>B107&gt;C107</formula>
    </cfRule>
    <cfRule type="expression" dxfId="334" priority="356">
      <formula>B107&lt;C107</formula>
    </cfRule>
  </conditionalFormatting>
  <conditionalFormatting sqref="H107">
    <cfRule type="expression" dxfId="333" priority="353">
      <formula>B107&gt;C107</formula>
    </cfRule>
    <cfRule type="expression" dxfId="332" priority="354">
      <formula>B107&lt;C107</formula>
    </cfRule>
  </conditionalFormatting>
  <conditionalFormatting sqref="A106">
    <cfRule type="expression" dxfId="331" priority="351">
      <formula>B106&gt;C106</formula>
    </cfRule>
    <cfRule type="expression" dxfId="330" priority="352">
      <formula>B106&lt;C106</formula>
    </cfRule>
  </conditionalFormatting>
  <conditionalFormatting sqref="H106">
    <cfRule type="expression" dxfId="329" priority="349">
      <formula>B106&gt;C106</formula>
    </cfRule>
    <cfRule type="expression" dxfId="328" priority="350">
      <formula>B106&lt;C106</formula>
    </cfRule>
  </conditionalFormatting>
  <conditionalFormatting sqref="A105">
    <cfRule type="expression" dxfId="327" priority="347">
      <formula>B105&gt;C105</formula>
    </cfRule>
    <cfRule type="expression" dxfId="326" priority="348">
      <formula>B105&lt;C105</formula>
    </cfRule>
  </conditionalFormatting>
  <conditionalFormatting sqref="H105">
    <cfRule type="expression" dxfId="325" priority="345">
      <formula>B105&gt;C105</formula>
    </cfRule>
    <cfRule type="expression" dxfId="324" priority="346">
      <formula>B105&lt;C105</formula>
    </cfRule>
  </conditionalFormatting>
  <conditionalFormatting sqref="A104">
    <cfRule type="expression" dxfId="323" priority="343">
      <formula>B104&gt;C104</formula>
    </cfRule>
    <cfRule type="expression" dxfId="322" priority="344">
      <formula>B104&lt;C104</formula>
    </cfRule>
  </conditionalFormatting>
  <conditionalFormatting sqref="H104">
    <cfRule type="expression" dxfId="321" priority="341">
      <formula>B104&gt;C104</formula>
    </cfRule>
    <cfRule type="expression" dxfId="320" priority="342">
      <formula>B104&lt;C104</formula>
    </cfRule>
  </conditionalFormatting>
  <conditionalFormatting sqref="A103">
    <cfRule type="expression" dxfId="319" priority="339">
      <formula>B103&gt;C103</formula>
    </cfRule>
    <cfRule type="expression" dxfId="318" priority="340">
      <formula>B103&lt;C103</formula>
    </cfRule>
  </conditionalFormatting>
  <conditionalFormatting sqref="H103">
    <cfRule type="expression" dxfId="317" priority="337">
      <formula>B103&gt;C103</formula>
    </cfRule>
    <cfRule type="expression" dxfId="316" priority="338">
      <formula>B103&lt;C103</formula>
    </cfRule>
  </conditionalFormatting>
  <conditionalFormatting sqref="A102">
    <cfRule type="expression" dxfId="315" priority="335">
      <formula>B102&gt;C102</formula>
    </cfRule>
    <cfRule type="expression" dxfId="314" priority="336">
      <formula>B102&lt;C102</formula>
    </cfRule>
  </conditionalFormatting>
  <conditionalFormatting sqref="H102">
    <cfRule type="expression" dxfId="313" priority="333">
      <formula>B102&gt;C102</formula>
    </cfRule>
    <cfRule type="expression" dxfId="312" priority="334">
      <formula>B102&lt;C102</formula>
    </cfRule>
  </conditionalFormatting>
  <conditionalFormatting sqref="A101">
    <cfRule type="expression" dxfId="311" priority="331">
      <formula>B101&gt;C101</formula>
    </cfRule>
    <cfRule type="expression" dxfId="310" priority="332">
      <formula>B101&lt;C101</formula>
    </cfRule>
  </conditionalFormatting>
  <conditionalFormatting sqref="H101">
    <cfRule type="expression" dxfId="309" priority="329">
      <formula>B101&gt;C101</formula>
    </cfRule>
    <cfRule type="expression" dxfId="308" priority="330">
      <formula>B101&lt;C101</formula>
    </cfRule>
  </conditionalFormatting>
  <conditionalFormatting sqref="A100">
    <cfRule type="expression" dxfId="307" priority="327">
      <formula>B100&gt;C100</formula>
    </cfRule>
    <cfRule type="expression" dxfId="306" priority="328">
      <formula>B100&lt;C100</formula>
    </cfRule>
  </conditionalFormatting>
  <conditionalFormatting sqref="H100">
    <cfRule type="expression" dxfId="305" priority="325">
      <formula>B100&gt;C100</formula>
    </cfRule>
    <cfRule type="expression" dxfId="304" priority="326">
      <formula>B100&lt;C100</formula>
    </cfRule>
  </conditionalFormatting>
  <conditionalFormatting sqref="A99">
    <cfRule type="expression" dxfId="303" priority="323">
      <formula>B99&gt;C99</formula>
    </cfRule>
    <cfRule type="expression" dxfId="302" priority="324">
      <formula>B99&lt;C99</formula>
    </cfRule>
  </conditionalFormatting>
  <conditionalFormatting sqref="H99">
    <cfRule type="expression" dxfId="301" priority="321">
      <formula>B99&gt;C99</formula>
    </cfRule>
    <cfRule type="expression" dxfId="300" priority="322">
      <formula>B99&lt;C99</formula>
    </cfRule>
  </conditionalFormatting>
  <conditionalFormatting sqref="A98">
    <cfRule type="expression" dxfId="299" priority="319">
      <formula>B98&gt;C98</formula>
    </cfRule>
    <cfRule type="expression" dxfId="298" priority="320">
      <formula>B98&lt;C98</formula>
    </cfRule>
  </conditionalFormatting>
  <conditionalFormatting sqref="H98">
    <cfRule type="expression" dxfId="297" priority="317">
      <formula>B98&gt;C98</formula>
    </cfRule>
    <cfRule type="expression" dxfId="296" priority="318">
      <formula>B98&lt;C98</formula>
    </cfRule>
  </conditionalFormatting>
  <conditionalFormatting sqref="A97">
    <cfRule type="expression" dxfId="295" priority="315">
      <formula>B97&gt;C97</formula>
    </cfRule>
    <cfRule type="expression" dxfId="294" priority="316">
      <formula>B97&lt;C97</formula>
    </cfRule>
  </conditionalFormatting>
  <conditionalFormatting sqref="H97">
    <cfRule type="expression" dxfId="293" priority="313">
      <formula>B97&gt;C97</formula>
    </cfRule>
    <cfRule type="expression" dxfId="292" priority="314">
      <formula>B97&lt;C97</formula>
    </cfRule>
  </conditionalFormatting>
  <conditionalFormatting sqref="A96">
    <cfRule type="expression" dxfId="291" priority="311">
      <formula>B96&gt;C96</formula>
    </cfRule>
    <cfRule type="expression" dxfId="290" priority="312">
      <formula>B96&lt;C96</formula>
    </cfRule>
  </conditionalFormatting>
  <conditionalFormatting sqref="H96">
    <cfRule type="expression" dxfId="289" priority="309">
      <formula>B96&gt;C96</formula>
    </cfRule>
    <cfRule type="expression" dxfId="288" priority="310">
      <formula>B96&lt;C96</formula>
    </cfRule>
  </conditionalFormatting>
  <conditionalFormatting sqref="A95">
    <cfRule type="expression" dxfId="287" priority="307">
      <formula>B95&gt;C95</formula>
    </cfRule>
    <cfRule type="expression" dxfId="286" priority="308">
      <formula>B95&lt;C95</formula>
    </cfRule>
  </conditionalFormatting>
  <conditionalFormatting sqref="H95">
    <cfRule type="expression" dxfId="285" priority="305">
      <formula>B95&gt;C95</formula>
    </cfRule>
    <cfRule type="expression" dxfId="284" priority="306">
      <formula>B95&lt;C95</formula>
    </cfRule>
  </conditionalFormatting>
  <conditionalFormatting sqref="A94">
    <cfRule type="expression" dxfId="283" priority="303">
      <formula>B94&gt;C94</formula>
    </cfRule>
    <cfRule type="expression" dxfId="282" priority="304">
      <formula>B94&lt;C94</formula>
    </cfRule>
  </conditionalFormatting>
  <conditionalFormatting sqref="H94">
    <cfRule type="expression" dxfId="281" priority="301">
      <formula>B94&gt;C94</formula>
    </cfRule>
    <cfRule type="expression" dxfId="280" priority="302">
      <formula>B94&lt;C94</formula>
    </cfRule>
  </conditionalFormatting>
  <conditionalFormatting sqref="A93">
    <cfRule type="expression" dxfId="279" priority="299">
      <formula>B93&gt;C93</formula>
    </cfRule>
    <cfRule type="expression" dxfId="278" priority="300">
      <formula>B93&lt;C93</formula>
    </cfRule>
  </conditionalFormatting>
  <conditionalFormatting sqref="H93">
    <cfRule type="expression" dxfId="277" priority="297">
      <formula>B93&gt;C93</formula>
    </cfRule>
    <cfRule type="expression" dxfId="276" priority="298">
      <formula>B93&lt;C93</formula>
    </cfRule>
  </conditionalFormatting>
  <conditionalFormatting sqref="A92">
    <cfRule type="expression" dxfId="275" priority="295">
      <formula>B92&gt;C92</formula>
    </cfRule>
    <cfRule type="expression" dxfId="274" priority="296">
      <formula>B92&lt;C92</formula>
    </cfRule>
  </conditionalFormatting>
  <conditionalFormatting sqref="H92">
    <cfRule type="expression" dxfId="273" priority="293">
      <formula>B92&gt;C92</formula>
    </cfRule>
    <cfRule type="expression" dxfId="272" priority="294">
      <formula>B92&lt;C92</formula>
    </cfRule>
  </conditionalFormatting>
  <conditionalFormatting sqref="A91">
    <cfRule type="expression" dxfId="271" priority="291">
      <formula>B91&gt;C91</formula>
    </cfRule>
    <cfRule type="expression" dxfId="270" priority="292">
      <formula>B91&lt;C91</formula>
    </cfRule>
  </conditionalFormatting>
  <conditionalFormatting sqref="H91">
    <cfRule type="expression" dxfId="269" priority="289">
      <formula>B91&gt;C91</formula>
    </cfRule>
    <cfRule type="expression" dxfId="268" priority="290">
      <formula>B91&lt;C91</formula>
    </cfRule>
  </conditionalFormatting>
  <conditionalFormatting sqref="H17:H18">
    <cfRule type="expression" dxfId="267" priority="283">
      <formula>B17&gt;C17</formula>
    </cfRule>
    <cfRule type="expression" dxfId="266" priority="284">
      <formula>B17&lt;C17</formula>
    </cfRule>
  </conditionalFormatting>
  <conditionalFormatting sqref="H90">
    <cfRule type="expression" dxfId="265" priority="279">
      <formula>B90&gt;C90</formula>
    </cfRule>
    <cfRule type="expression" dxfId="264" priority="280">
      <formula>B90&lt;C90</formula>
    </cfRule>
  </conditionalFormatting>
  <conditionalFormatting sqref="H89">
    <cfRule type="expression" dxfId="263" priority="275">
      <formula>B89&gt;C89</formula>
    </cfRule>
    <cfRule type="expression" dxfId="262" priority="276">
      <formula>B89&lt;C89</formula>
    </cfRule>
  </conditionalFormatting>
  <conditionalFormatting sqref="H88">
    <cfRule type="expression" dxfId="261" priority="271">
      <formula>B88&gt;C88</formula>
    </cfRule>
    <cfRule type="expression" dxfId="260" priority="272">
      <formula>B88&lt;C88</formula>
    </cfRule>
  </conditionalFormatting>
  <conditionalFormatting sqref="H87">
    <cfRule type="expression" dxfId="259" priority="267">
      <formula>B87&gt;C87</formula>
    </cfRule>
    <cfRule type="expression" dxfId="258" priority="268">
      <formula>B87&lt;C87</formula>
    </cfRule>
  </conditionalFormatting>
  <conditionalFormatting sqref="A87:A90">
    <cfRule type="expression" dxfId="257" priority="257">
      <formula>B87&gt;C87</formula>
    </cfRule>
    <cfRule type="expression" dxfId="256" priority="258">
      <formula>B87&lt;C87</formula>
    </cfRule>
  </conditionalFormatting>
  <conditionalFormatting sqref="H86">
    <cfRule type="expression" dxfId="255" priority="255">
      <formula>B86&gt;C86</formula>
    </cfRule>
    <cfRule type="expression" dxfId="254" priority="256">
      <formula>B86&lt;C86</formula>
    </cfRule>
  </conditionalFormatting>
  <conditionalFormatting sqref="A86">
    <cfRule type="expression" dxfId="253" priority="253">
      <formula>B86&gt;C86</formula>
    </cfRule>
    <cfRule type="expression" dxfId="252" priority="254">
      <formula>B86&lt;C86</formula>
    </cfRule>
  </conditionalFormatting>
  <conditionalFormatting sqref="H85">
    <cfRule type="expression" dxfId="251" priority="251">
      <formula>B85&gt;C85</formula>
    </cfRule>
    <cfRule type="expression" dxfId="250" priority="252">
      <formula>B85&lt;C85</formula>
    </cfRule>
  </conditionalFormatting>
  <conditionalFormatting sqref="A85">
    <cfRule type="expression" dxfId="249" priority="249">
      <formula>B85&gt;C85</formula>
    </cfRule>
    <cfRule type="expression" dxfId="248" priority="250">
      <formula>B85&lt;C85</formula>
    </cfRule>
  </conditionalFormatting>
  <conditionalFormatting sqref="H84">
    <cfRule type="expression" dxfId="247" priority="247">
      <formula>B84&gt;C84</formula>
    </cfRule>
    <cfRule type="expression" dxfId="246" priority="248">
      <formula>B84&lt;C84</formula>
    </cfRule>
  </conditionalFormatting>
  <conditionalFormatting sqref="A84">
    <cfRule type="expression" dxfId="245" priority="245">
      <formula>B84&gt;C84</formula>
    </cfRule>
    <cfRule type="expression" dxfId="244" priority="246">
      <formula>B84&lt;C84</formula>
    </cfRule>
  </conditionalFormatting>
  <conditionalFormatting sqref="H83">
    <cfRule type="expression" dxfId="243" priority="243">
      <formula>B83&gt;C83</formula>
    </cfRule>
    <cfRule type="expression" dxfId="242" priority="244">
      <formula>B83&lt;C83</formula>
    </cfRule>
  </conditionalFormatting>
  <conditionalFormatting sqref="A83">
    <cfRule type="expression" dxfId="241" priority="241">
      <formula>B83&gt;C83</formula>
    </cfRule>
    <cfRule type="expression" dxfId="240" priority="242">
      <formula>B83&lt;C83</formula>
    </cfRule>
  </conditionalFormatting>
  <conditionalFormatting sqref="H82">
    <cfRule type="expression" dxfId="239" priority="239">
      <formula>B82&gt;C82</formula>
    </cfRule>
    <cfRule type="expression" dxfId="238" priority="240">
      <formula>B82&lt;C82</formula>
    </cfRule>
  </conditionalFormatting>
  <conditionalFormatting sqref="A82">
    <cfRule type="expression" dxfId="237" priority="237">
      <formula>B82&gt;C82</formula>
    </cfRule>
    <cfRule type="expression" dxfId="236" priority="238">
      <formula>B82&lt;C82</formula>
    </cfRule>
  </conditionalFormatting>
  <conditionalFormatting sqref="H81">
    <cfRule type="expression" dxfId="235" priority="235">
      <formula>B81&gt;C81</formula>
    </cfRule>
    <cfRule type="expression" dxfId="234" priority="236">
      <formula>B81&lt;C81</formula>
    </cfRule>
  </conditionalFormatting>
  <conditionalFormatting sqref="A81">
    <cfRule type="expression" dxfId="233" priority="233">
      <formula>B81&gt;C81</formula>
    </cfRule>
    <cfRule type="expression" dxfId="232" priority="234">
      <formula>B81&lt;C81</formula>
    </cfRule>
  </conditionalFormatting>
  <conditionalFormatting sqref="H80">
    <cfRule type="expression" dxfId="231" priority="231">
      <formula>B80&gt;C80</formula>
    </cfRule>
    <cfRule type="expression" dxfId="230" priority="232">
      <formula>B80&lt;C80</formula>
    </cfRule>
  </conditionalFormatting>
  <conditionalFormatting sqref="A80">
    <cfRule type="expression" dxfId="229" priority="229">
      <formula>B80&gt;C80</formula>
    </cfRule>
    <cfRule type="expression" dxfId="228" priority="230">
      <formula>B80&lt;C80</formula>
    </cfRule>
  </conditionalFormatting>
  <conditionalFormatting sqref="H79">
    <cfRule type="expression" dxfId="227" priority="227">
      <formula>B79&gt;C79</formula>
    </cfRule>
    <cfRule type="expression" dxfId="226" priority="228">
      <formula>B79&lt;C79</formula>
    </cfRule>
  </conditionalFormatting>
  <conditionalFormatting sqref="A79">
    <cfRule type="expression" dxfId="225" priority="225">
      <formula>B79&gt;C79</formula>
    </cfRule>
    <cfRule type="expression" dxfId="224" priority="226">
      <formula>B79&lt;C79</formula>
    </cfRule>
  </conditionalFormatting>
  <conditionalFormatting sqref="H78">
    <cfRule type="expression" dxfId="223" priority="223">
      <formula>B78&gt;C78</formula>
    </cfRule>
    <cfRule type="expression" dxfId="222" priority="224">
      <formula>B78&lt;C78</formula>
    </cfRule>
  </conditionalFormatting>
  <conditionalFormatting sqref="A78">
    <cfRule type="expression" dxfId="221" priority="221">
      <formula>B78&gt;C78</formula>
    </cfRule>
    <cfRule type="expression" dxfId="220" priority="222">
      <formula>B78&lt;C78</formula>
    </cfRule>
  </conditionalFormatting>
  <conditionalFormatting sqref="H77">
    <cfRule type="expression" dxfId="219" priority="219">
      <formula>B77&gt;C77</formula>
    </cfRule>
    <cfRule type="expression" dxfId="218" priority="220">
      <formula>B77&lt;C77</formula>
    </cfRule>
  </conditionalFormatting>
  <conditionalFormatting sqref="A77">
    <cfRule type="expression" dxfId="217" priority="217">
      <formula>B77&gt;C77</formula>
    </cfRule>
    <cfRule type="expression" dxfId="216" priority="218">
      <formula>B77&lt;C77</formula>
    </cfRule>
  </conditionalFormatting>
  <conditionalFormatting sqref="H76">
    <cfRule type="expression" dxfId="215" priority="215">
      <formula>B76&gt;C76</formula>
    </cfRule>
    <cfRule type="expression" dxfId="214" priority="216">
      <formula>B76&lt;C76</formula>
    </cfRule>
  </conditionalFormatting>
  <conditionalFormatting sqref="A76">
    <cfRule type="expression" dxfId="213" priority="213">
      <formula>B76&gt;C76</formula>
    </cfRule>
    <cfRule type="expression" dxfId="212" priority="214">
      <formula>B76&lt;C76</formula>
    </cfRule>
  </conditionalFormatting>
  <conditionalFormatting sqref="H75">
    <cfRule type="expression" dxfId="211" priority="211">
      <formula>B75&gt;C75</formula>
    </cfRule>
    <cfRule type="expression" dxfId="210" priority="212">
      <formula>B75&lt;C75</formula>
    </cfRule>
  </conditionalFormatting>
  <conditionalFormatting sqref="A75">
    <cfRule type="expression" dxfId="209" priority="209">
      <formula>B75&gt;C75</formula>
    </cfRule>
    <cfRule type="expression" dxfId="208" priority="210">
      <formula>B75&lt;C75</formula>
    </cfRule>
  </conditionalFormatting>
  <conditionalFormatting sqref="H74">
    <cfRule type="expression" dxfId="207" priority="207">
      <formula>B74&gt;C74</formula>
    </cfRule>
    <cfRule type="expression" dxfId="206" priority="208">
      <formula>B74&lt;C74</formula>
    </cfRule>
  </conditionalFormatting>
  <conditionalFormatting sqref="A74">
    <cfRule type="expression" dxfId="205" priority="205">
      <formula>B74&gt;C74</formula>
    </cfRule>
    <cfRule type="expression" dxfId="204" priority="206">
      <formula>B74&lt;C74</formula>
    </cfRule>
  </conditionalFormatting>
  <conditionalFormatting sqref="H73">
    <cfRule type="expression" dxfId="203" priority="203">
      <formula>B73&gt;C73</formula>
    </cfRule>
    <cfRule type="expression" dxfId="202" priority="204">
      <formula>B73&lt;C73</formula>
    </cfRule>
  </conditionalFormatting>
  <conditionalFormatting sqref="A73">
    <cfRule type="expression" dxfId="201" priority="201">
      <formula>B73&gt;C73</formula>
    </cfRule>
    <cfRule type="expression" dxfId="200" priority="202">
      <formula>B73&lt;C73</formula>
    </cfRule>
  </conditionalFormatting>
  <conditionalFormatting sqref="H72">
    <cfRule type="expression" dxfId="199" priority="199">
      <formula>B72&gt;C72</formula>
    </cfRule>
    <cfRule type="expression" dxfId="198" priority="200">
      <formula>B72&lt;C72</formula>
    </cfRule>
  </conditionalFormatting>
  <conditionalFormatting sqref="A72">
    <cfRule type="expression" dxfId="197" priority="197">
      <formula>B72&gt;C72</formula>
    </cfRule>
    <cfRule type="expression" dxfId="196" priority="198">
      <formula>B72&lt;C72</formula>
    </cfRule>
  </conditionalFormatting>
  <conditionalFormatting sqref="H71">
    <cfRule type="expression" dxfId="195" priority="195">
      <formula>B71&gt;C71</formula>
    </cfRule>
    <cfRule type="expression" dxfId="194" priority="196">
      <formula>B71&lt;C71</formula>
    </cfRule>
  </conditionalFormatting>
  <conditionalFormatting sqref="A71">
    <cfRule type="expression" dxfId="193" priority="193">
      <formula>B71&gt;C71</formula>
    </cfRule>
    <cfRule type="expression" dxfId="192" priority="194">
      <formula>B71&lt;C71</formula>
    </cfRule>
  </conditionalFormatting>
  <conditionalFormatting sqref="H70">
    <cfRule type="expression" dxfId="191" priority="191">
      <formula>B70&gt;C70</formula>
    </cfRule>
    <cfRule type="expression" dxfId="190" priority="192">
      <formula>B70&lt;C70</formula>
    </cfRule>
  </conditionalFormatting>
  <conditionalFormatting sqref="A70">
    <cfRule type="expression" dxfId="189" priority="189">
      <formula>B70&gt;C70</formula>
    </cfRule>
    <cfRule type="expression" dxfId="188" priority="190">
      <formula>B70&lt;C70</formula>
    </cfRule>
  </conditionalFormatting>
  <conditionalFormatting sqref="H69">
    <cfRule type="expression" dxfId="187" priority="187">
      <formula>B69&gt;C69</formula>
    </cfRule>
    <cfRule type="expression" dxfId="186" priority="188">
      <formula>B69&lt;C69</formula>
    </cfRule>
  </conditionalFormatting>
  <conditionalFormatting sqref="A69">
    <cfRule type="expression" dxfId="185" priority="185">
      <formula>B69&gt;C69</formula>
    </cfRule>
    <cfRule type="expression" dxfId="184" priority="186">
      <formula>B69&lt;C69</formula>
    </cfRule>
  </conditionalFormatting>
  <conditionalFormatting sqref="H68">
    <cfRule type="expression" dxfId="183" priority="183">
      <formula>B68&gt;C68</formula>
    </cfRule>
    <cfRule type="expression" dxfId="182" priority="184">
      <formula>B68&lt;C68</formula>
    </cfRule>
  </conditionalFormatting>
  <conditionalFormatting sqref="A68">
    <cfRule type="expression" dxfId="181" priority="181">
      <formula>B68&gt;C68</formula>
    </cfRule>
    <cfRule type="expression" dxfId="180" priority="182">
      <formula>B68&lt;C68</formula>
    </cfRule>
  </conditionalFormatting>
  <conditionalFormatting sqref="H67">
    <cfRule type="expression" dxfId="179" priority="179">
      <formula>B67&gt;C67</formula>
    </cfRule>
    <cfRule type="expression" dxfId="178" priority="180">
      <formula>B67&lt;C67</formula>
    </cfRule>
  </conditionalFormatting>
  <conditionalFormatting sqref="A67">
    <cfRule type="expression" dxfId="177" priority="177">
      <formula>B67&gt;C67</formula>
    </cfRule>
    <cfRule type="expression" dxfId="176" priority="178">
      <formula>B67&lt;C67</formula>
    </cfRule>
  </conditionalFormatting>
  <conditionalFormatting sqref="H66">
    <cfRule type="expression" dxfId="175" priority="175">
      <formula>B66&gt;C66</formula>
    </cfRule>
    <cfRule type="expression" dxfId="174" priority="176">
      <formula>B66&lt;C66</formula>
    </cfRule>
  </conditionalFormatting>
  <conditionalFormatting sqref="A66">
    <cfRule type="expression" dxfId="173" priority="173">
      <formula>B66&gt;C66</formula>
    </cfRule>
    <cfRule type="expression" dxfId="172" priority="174">
      <formula>B66&lt;C66</formula>
    </cfRule>
  </conditionalFormatting>
  <conditionalFormatting sqref="H65">
    <cfRule type="expression" dxfId="171" priority="171">
      <formula>B65&gt;C65</formula>
    </cfRule>
    <cfRule type="expression" dxfId="170" priority="172">
      <formula>B65&lt;C65</formula>
    </cfRule>
  </conditionalFormatting>
  <conditionalFormatting sqref="A65">
    <cfRule type="expression" dxfId="169" priority="169">
      <formula>B65&gt;C65</formula>
    </cfRule>
    <cfRule type="expression" dxfId="168" priority="170">
      <formula>B65&lt;C65</formula>
    </cfRule>
  </conditionalFormatting>
  <conditionalFormatting sqref="H64">
    <cfRule type="expression" dxfId="167" priority="167">
      <formula>B64&gt;C64</formula>
    </cfRule>
    <cfRule type="expression" dxfId="166" priority="168">
      <formula>B64&lt;C64</formula>
    </cfRule>
  </conditionalFormatting>
  <conditionalFormatting sqref="A64">
    <cfRule type="expression" dxfId="165" priority="165">
      <formula>B64&gt;C64</formula>
    </cfRule>
    <cfRule type="expression" dxfId="164" priority="166">
      <formula>B64&lt;C64</formula>
    </cfRule>
  </conditionalFormatting>
  <conditionalFormatting sqref="H63">
    <cfRule type="expression" dxfId="163" priority="163">
      <formula>B63&gt;C63</formula>
    </cfRule>
    <cfRule type="expression" dxfId="162" priority="164">
      <formula>B63&lt;C63</formula>
    </cfRule>
  </conditionalFormatting>
  <conditionalFormatting sqref="A63">
    <cfRule type="expression" dxfId="161" priority="161">
      <formula>B63&gt;C63</formula>
    </cfRule>
    <cfRule type="expression" dxfId="160" priority="162">
      <formula>B63&lt;C63</formula>
    </cfRule>
  </conditionalFormatting>
  <conditionalFormatting sqref="H62">
    <cfRule type="expression" dxfId="159" priority="159">
      <formula>B62&gt;C62</formula>
    </cfRule>
    <cfRule type="expression" dxfId="158" priority="160">
      <formula>B62&lt;C62</formula>
    </cfRule>
  </conditionalFormatting>
  <conditionalFormatting sqref="A62">
    <cfRule type="expression" dxfId="157" priority="157">
      <formula>B62&gt;C62</formula>
    </cfRule>
    <cfRule type="expression" dxfId="156" priority="158">
      <formula>B62&lt;C62</formula>
    </cfRule>
  </conditionalFormatting>
  <conditionalFormatting sqref="H61">
    <cfRule type="expression" dxfId="155" priority="155">
      <formula>B61&gt;C61</formula>
    </cfRule>
    <cfRule type="expression" dxfId="154" priority="156">
      <formula>B61&lt;C61</formula>
    </cfRule>
  </conditionalFormatting>
  <conditionalFormatting sqref="A61">
    <cfRule type="expression" dxfId="153" priority="153">
      <formula>B61&gt;C61</formula>
    </cfRule>
    <cfRule type="expression" dxfId="152" priority="154">
      <formula>B61&lt;C61</formula>
    </cfRule>
  </conditionalFormatting>
  <conditionalFormatting sqref="H60">
    <cfRule type="expression" dxfId="151" priority="151">
      <formula>B60&gt;C60</formula>
    </cfRule>
    <cfRule type="expression" dxfId="150" priority="152">
      <formula>B60&lt;C60</formula>
    </cfRule>
  </conditionalFormatting>
  <conditionalFormatting sqref="A60">
    <cfRule type="expression" dxfId="149" priority="149">
      <formula>B60&gt;C60</formula>
    </cfRule>
    <cfRule type="expression" dxfId="148" priority="150">
      <formula>B60&lt;C60</formula>
    </cfRule>
  </conditionalFormatting>
  <conditionalFormatting sqref="H59">
    <cfRule type="expression" dxfId="147" priority="147">
      <formula>B59&gt;C59</formula>
    </cfRule>
    <cfRule type="expression" dxfId="146" priority="148">
      <formula>B59&lt;C59</formula>
    </cfRule>
  </conditionalFormatting>
  <conditionalFormatting sqref="A59">
    <cfRule type="expression" dxfId="145" priority="145">
      <formula>B59&gt;C59</formula>
    </cfRule>
    <cfRule type="expression" dxfId="144" priority="146">
      <formula>B59&lt;C59</formula>
    </cfRule>
  </conditionalFormatting>
  <conditionalFormatting sqref="H58">
    <cfRule type="expression" dxfId="143" priority="143">
      <formula>B58&gt;C58</formula>
    </cfRule>
    <cfRule type="expression" dxfId="142" priority="144">
      <formula>B58&lt;C58</formula>
    </cfRule>
  </conditionalFormatting>
  <conditionalFormatting sqref="A58">
    <cfRule type="expression" dxfId="141" priority="141">
      <formula>B58&gt;C58</formula>
    </cfRule>
    <cfRule type="expression" dxfId="140" priority="142">
      <formula>B58&lt;C58</formula>
    </cfRule>
  </conditionalFormatting>
  <conditionalFormatting sqref="H57">
    <cfRule type="expression" dxfId="139" priority="139">
      <formula>B57&gt;C57</formula>
    </cfRule>
    <cfRule type="expression" dxfId="138" priority="140">
      <formula>B57&lt;C57</formula>
    </cfRule>
  </conditionalFormatting>
  <conditionalFormatting sqref="A57">
    <cfRule type="expression" dxfId="137" priority="137">
      <formula>B57&gt;C57</formula>
    </cfRule>
    <cfRule type="expression" dxfId="136" priority="138">
      <formula>B57&lt;C57</formula>
    </cfRule>
  </conditionalFormatting>
  <conditionalFormatting sqref="H56">
    <cfRule type="expression" dxfId="135" priority="135">
      <formula>B56&gt;C56</formula>
    </cfRule>
    <cfRule type="expression" dxfId="134" priority="136">
      <formula>B56&lt;C56</formula>
    </cfRule>
  </conditionalFormatting>
  <conditionalFormatting sqref="A56">
    <cfRule type="expression" dxfId="133" priority="133">
      <formula>B56&gt;C56</formula>
    </cfRule>
    <cfRule type="expression" dxfId="132" priority="134">
      <formula>B56&lt;C56</formula>
    </cfRule>
  </conditionalFormatting>
  <conditionalFormatting sqref="H55">
    <cfRule type="expression" dxfId="131" priority="131">
      <formula>B55&gt;C55</formula>
    </cfRule>
    <cfRule type="expression" dxfId="130" priority="132">
      <formula>B55&lt;C55</formula>
    </cfRule>
  </conditionalFormatting>
  <conditionalFormatting sqref="A55">
    <cfRule type="expression" dxfId="129" priority="129">
      <formula>B55&gt;C55</formula>
    </cfRule>
    <cfRule type="expression" dxfId="128" priority="130">
      <formula>B55&lt;C55</formula>
    </cfRule>
  </conditionalFormatting>
  <conditionalFormatting sqref="H54">
    <cfRule type="expression" dxfId="127" priority="127">
      <formula>B54&gt;C54</formula>
    </cfRule>
    <cfRule type="expression" dxfId="126" priority="128">
      <formula>B54&lt;C54</formula>
    </cfRule>
  </conditionalFormatting>
  <conditionalFormatting sqref="A54">
    <cfRule type="expression" dxfId="125" priority="125">
      <formula>B54&gt;C54</formula>
    </cfRule>
    <cfRule type="expression" dxfId="124" priority="126">
      <formula>B54&lt;C54</formula>
    </cfRule>
  </conditionalFormatting>
  <conditionalFormatting sqref="H53">
    <cfRule type="expression" dxfId="123" priority="123">
      <formula>B53&gt;C53</formula>
    </cfRule>
    <cfRule type="expression" dxfId="122" priority="124">
      <formula>B53&lt;C53</formula>
    </cfRule>
  </conditionalFormatting>
  <conditionalFormatting sqref="A53">
    <cfRule type="expression" dxfId="121" priority="121">
      <formula>B53&gt;C53</formula>
    </cfRule>
    <cfRule type="expression" dxfId="120" priority="122">
      <formula>B53&lt;C53</formula>
    </cfRule>
  </conditionalFormatting>
  <conditionalFormatting sqref="H52">
    <cfRule type="expression" dxfId="119" priority="119">
      <formula>B52&gt;C52</formula>
    </cfRule>
    <cfRule type="expression" dxfId="118" priority="120">
      <formula>B52&lt;C52</formula>
    </cfRule>
  </conditionalFormatting>
  <conditionalFormatting sqref="A52">
    <cfRule type="expression" dxfId="117" priority="117">
      <formula>B52&gt;C52</formula>
    </cfRule>
    <cfRule type="expression" dxfId="116" priority="118">
      <formula>B52&lt;C52</formula>
    </cfRule>
  </conditionalFormatting>
  <conditionalFormatting sqref="H51">
    <cfRule type="expression" dxfId="115" priority="115">
      <formula>B51&gt;C51</formula>
    </cfRule>
    <cfRule type="expression" dxfId="114" priority="116">
      <formula>B51&lt;C51</formula>
    </cfRule>
  </conditionalFormatting>
  <conditionalFormatting sqref="A51">
    <cfRule type="expression" dxfId="113" priority="113">
      <formula>B51&gt;C51</formula>
    </cfRule>
    <cfRule type="expression" dxfId="112" priority="114">
      <formula>B51&lt;C51</formula>
    </cfRule>
  </conditionalFormatting>
  <conditionalFormatting sqref="H50">
    <cfRule type="expression" dxfId="111" priority="111">
      <formula>B50&gt;C50</formula>
    </cfRule>
    <cfRule type="expression" dxfId="110" priority="112">
      <formula>B50&lt;C50</formula>
    </cfRule>
  </conditionalFormatting>
  <conditionalFormatting sqref="A50">
    <cfRule type="expression" dxfId="109" priority="109">
      <formula>B50&gt;C50</formula>
    </cfRule>
    <cfRule type="expression" dxfId="108" priority="110">
      <formula>B50&lt;C50</formula>
    </cfRule>
  </conditionalFormatting>
  <conditionalFormatting sqref="H49">
    <cfRule type="expression" dxfId="107" priority="107">
      <formula>B49&gt;C49</formula>
    </cfRule>
    <cfRule type="expression" dxfId="106" priority="108">
      <formula>B49&lt;C49</formula>
    </cfRule>
  </conditionalFormatting>
  <conditionalFormatting sqref="A49">
    <cfRule type="expression" dxfId="105" priority="105">
      <formula>B49&gt;C49</formula>
    </cfRule>
    <cfRule type="expression" dxfId="104" priority="106">
      <formula>B49&lt;C49</formula>
    </cfRule>
  </conditionalFormatting>
  <conditionalFormatting sqref="H48">
    <cfRule type="expression" dxfId="103" priority="103">
      <formula>B48&gt;C48</formula>
    </cfRule>
    <cfRule type="expression" dxfId="102" priority="104">
      <formula>B48&lt;C48</formula>
    </cfRule>
  </conditionalFormatting>
  <conditionalFormatting sqref="A48">
    <cfRule type="expression" dxfId="101" priority="101">
      <formula>B48&gt;C48</formula>
    </cfRule>
    <cfRule type="expression" dxfId="100" priority="102">
      <formula>B48&lt;C48</formula>
    </cfRule>
  </conditionalFormatting>
  <conditionalFormatting sqref="H47">
    <cfRule type="expression" dxfId="99" priority="99">
      <formula>B47&gt;C47</formula>
    </cfRule>
    <cfRule type="expression" dxfId="98" priority="100">
      <formula>B47&lt;C47</formula>
    </cfRule>
  </conditionalFormatting>
  <conditionalFormatting sqref="A47">
    <cfRule type="expression" dxfId="97" priority="97">
      <formula>B47&gt;C47</formula>
    </cfRule>
    <cfRule type="expression" dxfId="96" priority="98">
      <formula>B47&lt;C47</formula>
    </cfRule>
  </conditionalFormatting>
  <conditionalFormatting sqref="H46">
    <cfRule type="expression" dxfId="95" priority="95">
      <formula>B46&gt;C46</formula>
    </cfRule>
    <cfRule type="expression" dxfId="94" priority="96">
      <formula>B46&lt;C46</formula>
    </cfRule>
  </conditionalFormatting>
  <conditionalFormatting sqref="A46">
    <cfRule type="expression" dxfId="93" priority="93">
      <formula>B46&gt;C46</formula>
    </cfRule>
    <cfRule type="expression" dxfId="92" priority="94">
      <formula>B46&lt;C46</formula>
    </cfRule>
  </conditionalFormatting>
  <conditionalFormatting sqref="H45">
    <cfRule type="expression" dxfId="91" priority="91">
      <formula>B45&gt;C45</formula>
    </cfRule>
    <cfRule type="expression" dxfId="90" priority="92">
      <formula>B45&lt;C45</formula>
    </cfRule>
  </conditionalFormatting>
  <conditionalFormatting sqref="A45">
    <cfRule type="expression" dxfId="89" priority="89">
      <formula>B45&gt;C45</formula>
    </cfRule>
    <cfRule type="expression" dxfId="88" priority="90">
      <formula>B45&lt;C45</formula>
    </cfRule>
  </conditionalFormatting>
  <conditionalFormatting sqref="H44">
    <cfRule type="expression" dxfId="87" priority="87">
      <formula>B44&gt;C44</formula>
    </cfRule>
    <cfRule type="expression" dxfId="86" priority="88">
      <formula>B44&lt;C44</formula>
    </cfRule>
  </conditionalFormatting>
  <conditionalFormatting sqref="A44">
    <cfRule type="expression" dxfId="85" priority="85">
      <formula>B44&gt;C44</formula>
    </cfRule>
    <cfRule type="expression" dxfId="84" priority="86">
      <formula>B44&lt;C44</formula>
    </cfRule>
  </conditionalFormatting>
  <conditionalFormatting sqref="H43">
    <cfRule type="expression" dxfId="83" priority="83">
      <formula>B43&gt;C43</formula>
    </cfRule>
    <cfRule type="expression" dxfId="82" priority="84">
      <formula>B43&lt;C43</formula>
    </cfRule>
  </conditionalFormatting>
  <conditionalFormatting sqref="A43">
    <cfRule type="expression" dxfId="81" priority="81">
      <formula>B43&gt;C43</formula>
    </cfRule>
    <cfRule type="expression" dxfId="80" priority="82">
      <formula>B43&lt;C43</formula>
    </cfRule>
  </conditionalFormatting>
  <conditionalFormatting sqref="H42">
    <cfRule type="expression" dxfId="79" priority="79">
      <formula>B42&gt;C42</formula>
    </cfRule>
    <cfRule type="expression" dxfId="78" priority="80">
      <formula>B42&lt;C42</formula>
    </cfRule>
  </conditionalFormatting>
  <conditionalFormatting sqref="A42">
    <cfRule type="expression" dxfId="77" priority="77">
      <formula>B42&gt;C42</formula>
    </cfRule>
    <cfRule type="expression" dxfId="76" priority="78">
      <formula>B42&lt;C42</formula>
    </cfRule>
  </conditionalFormatting>
  <conditionalFormatting sqref="H41">
    <cfRule type="expression" dxfId="75" priority="75">
      <formula>B41&gt;C41</formula>
    </cfRule>
    <cfRule type="expression" dxfId="74" priority="76">
      <formula>B41&lt;C41</formula>
    </cfRule>
  </conditionalFormatting>
  <conditionalFormatting sqref="A41">
    <cfRule type="expression" dxfId="73" priority="73">
      <formula>B41&gt;C41</formula>
    </cfRule>
    <cfRule type="expression" dxfId="72" priority="74">
      <formula>B41&lt;C41</formula>
    </cfRule>
  </conditionalFormatting>
  <conditionalFormatting sqref="H40">
    <cfRule type="expression" dxfId="71" priority="71">
      <formula>B40&gt;C40</formula>
    </cfRule>
    <cfRule type="expression" dxfId="70" priority="72">
      <formula>B40&lt;C40</formula>
    </cfRule>
  </conditionalFormatting>
  <conditionalFormatting sqref="A40">
    <cfRule type="expression" dxfId="69" priority="69">
      <formula>B40&gt;C40</formula>
    </cfRule>
    <cfRule type="expression" dxfId="68" priority="70">
      <formula>B40&lt;C40</formula>
    </cfRule>
  </conditionalFormatting>
  <conditionalFormatting sqref="H39">
    <cfRule type="expression" dxfId="67" priority="67">
      <formula>B39&gt;C39</formula>
    </cfRule>
    <cfRule type="expression" dxfId="66" priority="68">
      <formula>B39&lt;C39</formula>
    </cfRule>
  </conditionalFormatting>
  <conditionalFormatting sqref="A39">
    <cfRule type="expression" dxfId="65" priority="65">
      <formula>B39&gt;C39</formula>
    </cfRule>
    <cfRule type="expression" dxfId="64" priority="66">
      <formula>B39&lt;C39</formula>
    </cfRule>
  </conditionalFormatting>
  <conditionalFormatting sqref="H38">
    <cfRule type="expression" dxfId="63" priority="63">
      <formula>B38&gt;C38</formula>
    </cfRule>
    <cfRule type="expression" dxfId="62" priority="64">
      <formula>B38&lt;C38</formula>
    </cfRule>
  </conditionalFormatting>
  <conditionalFormatting sqref="A38">
    <cfRule type="expression" dxfId="61" priority="61">
      <formula>B38&gt;C38</formula>
    </cfRule>
    <cfRule type="expression" dxfId="60" priority="62">
      <formula>B38&lt;C38</formula>
    </cfRule>
  </conditionalFormatting>
  <conditionalFormatting sqref="H37">
    <cfRule type="expression" dxfId="59" priority="59">
      <formula>B37&gt;C37</formula>
    </cfRule>
    <cfRule type="expression" dxfId="58" priority="60">
      <formula>B37&lt;C37</formula>
    </cfRule>
  </conditionalFormatting>
  <conditionalFormatting sqref="A37">
    <cfRule type="expression" dxfId="57" priority="57">
      <formula>B37&gt;C37</formula>
    </cfRule>
    <cfRule type="expression" dxfId="56" priority="58">
      <formula>B37&lt;C37</formula>
    </cfRule>
  </conditionalFormatting>
  <conditionalFormatting sqref="H36">
    <cfRule type="expression" dxfId="55" priority="55">
      <formula>B36&gt;C36</formula>
    </cfRule>
    <cfRule type="expression" dxfId="54" priority="56">
      <formula>B36&lt;C36</formula>
    </cfRule>
  </conditionalFormatting>
  <conditionalFormatting sqref="A36">
    <cfRule type="expression" dxfId="53" priority="53">
      <formula>B36&gt;C36</formula>
    </cfRule>
    <cfRule type="expression" dxfId="52" priority="54">
      <formula>B36&lt;C36</formula>
    </cfRule>
  </conditionalFormatting>
  <conditionalFormatting sqref="H35">
    <cfRule type="expression" dxfId="51" priority="51">
      <formula>B35&gt;C35</formula>
    </cfRule>
    <cfRule type="expression" dxfId="50" priority="52">
      <formula>B35&lt;C35</formula>
    </cfRule>
  </conditionalFormatting>
  <conditionalFormatting sqref="A35">
    <cfRule type="expression" dxfId="49" priority="49">
      <formula>B35&gt;C35</formula>
    </cfRule>
    <cfRule type="expression" dxfId="48" priority="50">
      <formula>B35&lt;C35</formula>
    </cfRule>
  </conditionalFormatting>
  <conditionalFormatting sqref="H34">
    <cfRule type="expression" dxfId="47" priority="47">
      <formula>B34&gt;C34</formula>
    </cfRule>
    <cfRule type="expression" dxfId="46" priority="48">
      <formula>B34&lt;C34</formula>
    </cfRule>
  </conditionalFormatting>
  <conditionalFormatting sqref="A34">
    <cfRule type="expression" dxfId="45" priority="45">
      <formula>B34&gt;C34</formula>
    </cfRule>
    <cfRule type="expression" dxfId="44" priority="46">
      <formula>B34&lt;C34</formula>
    </cfRule>
  </conditionalFormatting>
  <conditionalFormatting sqref="H33">
    <cfRule type="expression" dxfId="43" priority="43">
      <formula>B33&gt;C33</formula>
    </cfRule>
    <cfRule type="expression" dxfId="42" priority="44">
      <formula>B33&lt;C33</formula>
    </cfRule>
  </conditionalFormatting>
  <conditionalFormatting sqref="A33">
    <cfRule type="expression" dxfId="41" priority="41">
      <formula>B33&gt;C33</formula>
    </cfRule>
    <cfRule type="expression" dxfId="40" priority="42">
      <formula>B33&lt;C33</formula>
    </cfRule>
  </conditionalFormatting>
  <conditionalFormatting sqref="H32">
    <cfRule type="expression" dxfId="39" priority="39">
      <formula>B32&gt;C32</formula>
    </cfRule>
    <cfRule type="expression" dxfId="38" priority="40">
      <formula>B32&lt;C32</formula>
    </cfRule>
  </conditionalFormatting>
  <conditionalFormatting sqref="A32">
    <cfRule type="expression" dxfId="37" priority="37">
      <formula>B32&gt;C32</formula>
    </cfRule>
    <cfRule type="expression" dxfId="36" priority="38">
      <formula>B32&lt;C32</formula>
    </cfRule>
  </conditionalFormatting>
  <conditionalFormatting sqref="H31">
    <cfRule type="expression" dxfId="35" priority="35">
      <formula>B31&gt;C31</formula>
    </cfRule>
    <cfRule type="expression" dxfId="34" priority="36">
      <formula>B31&lt;C31</formula>
    </cfRule>
  </conditionalFormatting>
  <conditionalFormatting sqref="A31">
    <cfRule type="expression" dxfId="33" priority="33">
      <formula>B31&gt;C31</formula>
    </cfRule>
    <cfRule type="expression" dxfId="32" priority="34">
      <formula>B31&lt;C31</formula>
    </cfRule>
  </conditionalFormatting>
  <conditionalFormatting sqref="H30">
    <cfRule type="expression" dxfId="31" priority="31">
      <formula>B30&gt;C30</formula>
    </cfRule>
    <cfRule type="expression" dxfId="30" priority="32">
      <formula>B30&lt;C30</formula>
    </cfRule>
  </conditionalFormatting>
  <conditionalFormatting sqref="A30">
    <cfRule type="expression" dxfId="29" priority="29">
      <formula>B30&gt;C30</formula>
    </cfRule>
    <cfRule type="expression" dxfId="28" priority="30">
      <formula>B30&lt;C30</formula>
    </cfRule>
  </conditionalFormatting>
  <conditionalFormatting sqref="H29">
    <cfRule type="expression" dxfId="27" priority="27">
      <formula>B29&gt;C29</formula>
    </cfRule>
    <cfRule type="expression" dxfId="26" priority="28">
      <formula>B29&lt;C29</formula>
    </cfRule>
  </conditionalFormatting>
  <conditionalFormatting sqref="A29">
    <cfRule type="expression" dxfId="25" priority="25">
      <formula>B29&gt;C29</formula>
    </cfRule>
    <cfRule type="expression" dxfId="24" priority="26">
      <formula>B29&lt;C29</formula>
    </cfRule>
  </conditionalFormatting>
  <conditionalFormatting sqref="H28">
    <cfRule type="expression" dxfId="23" priority="23">
      <formula>B28&gt;C28</formula>
    </cfRule>
    <cfRule type="expression" dxfId="22" priority="24">
      <formula>B28&lt;C28</formula>
    </cfRule>
  </conditionalFormatting>
  <conditionalFormatting sqref="A28">
    <cfRule type="expression" dxfId="21" priority="21">
      <formula>B28&gt;C28</formula>
    </cfRule>
    <cfRule type="expression" dxfId="20" priority="22">
      <formula>B28&lt;C28</formula>
    </cfRule>
  </conditionalFormatting>
  <conditionalFormatting sqref="H27">
    <cfRule type="expression" dxfId="19" priority="19">
      <formula>B27&gt;C27</formula>
    </cfRule>
    <cfRule type="expression" dxfId="18" priority="20">
      <formula>B27&lt;C27</formula>
    </cfRule>
  </conditionalFormatting>
  <conditionalFormatting sqref="A27">
    <cfRule type="expression" dxfId="17" priority="17">
      <formula>B27&gt;C27</formula>
    </cfRule>
    <cfRule type="expression" dxfId="16" priority="18">
      <formula>B27&lt;C27</formula>
    </cfRule>
  </conditionalFormatting>
  <conditionalFormatting sqref="H26">
    <cfRule type="expression" dxfId="15" priority="15">
      <formula>B26&gt;C26</formula>
    </cfRule>
    <cfRule type="expression" dxfId="14" priority="16">
      <formula>B26&lt;C26</formula>
    </cfRule>
  </conditionalFormatting>
  <conditionalFormatting sqref="A26">
    <cfRule type="expression" dxfId="13" priority="13">
      <formula>B26&gt;C26</formula>
    </cfRule>
    <cfRule type="expression" dxfId="12" priority="14">
      <formula>B26&lt;C26</formula>
    </cfRule>
  </conditionalFormatting>
  <conditionalFormatting sqref="H25">
    <cfRule type="expression" dxfId="11" priority="11">
      <formula>B25&gt;C25</formula>
    </cfRule>
    <cfRule type="expression" dxfId="10" priority="12">
      <formula>B25&lt;C25</formula>
    </cfRule>
  </conditionalFormatting>
  <conditionalFormatting sqref="A25">
    <cfRule type="expression" dxfId="9" priority="9">
      <formula>B25&gt;C25</formula>
    </cfRule>
    <cfRule type="expression" dxfId="8" priority="10">
      <formula>B25&lt;C25</formula>
    </cfRule>
  </conditionalFormatting>
  <conditionalFormatting sqref="H24">
    <cfRule type="expression" dxfId="7" priority="7">
      <formula>B24&gt;C24</formula>
    </cfRule>
    <cfRule type="expression" dxfId="6" priority="8">
      <formula>B24&lt;C24</formula>
    </cfRule>
  </conditionalFormatting>
  <conditionalFormatting sqref="A24">
    <cfRule type="expression" dxfId="5" priority="5">
      <formula>B24&gt;C24</formula>
    </cfRule>
    <cfRule type="expression" dxfId="4" priority="6">
      <formula>B24&lt;C24</formula>
    </cfRule>
  </conditionalFormatting>
  <conditionalFormatting sqref="H21:H23">
    <cfRule type="expression" dxfId="3" priority="3">
      <formula>B21&gt;C21</formula>
    </cfRule>
    <cfRule type="expression" dxfId="2" priority="4">
      <formula>B21&lt;C21</formula>
    </cfRule>
  </conditionalFormatting>
  <conditionalFormatting sqref="A21:A23">
    <cfRule type="expression" dxfId="1" priority="1">
      <formula>B21&gt;C21</formula>
    </cfRule>
    <cfRule type="expression" dxfId="0" priority="2">
      <formula>B21&lt;C21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EACC3-357E-C04C-BC11-554D64D869A1}">
  <sheetPr codeName="Sheet2"/>
  <dimension ref="A1:O22"/>
  <sheetViews>
    <sheetView workbookViewId="0">
      <selection activeCell="A17" sqref="A17:B22"/>
    </sheetView>
  </sheetViews>
  <sheetFormatPr baseColWidth="10" defaultColWidth="0" defaultRowHeight="15" x14ac:dyDescent="0.2"/>
  <cols>
    <col min="1" max="15" width="10.83203125" customWidth="1"/>
    <col min="16" max="16384" width="10.83203125" hidden="1"/>
  </cols>
  <sheetData>
    <row r="1" spans="1:14" x14ac:dyDescent="0.2">
      <c r="D1" s="2" t="str">
        <f>Game!$B1</f>
        <v>girls</v>
      </c>
      <c r="E1" s="2" t="str">
        <f>Game!$C1</f>
        <v>guys</v>
      </c>
      <c r="F1" s="2"/>
      <c r="G1" s="2" t="str">
        <f>Game!$B1</f>
        <v>girls</v>
      </c>
      <c r="H1" s="2" t="str">
        <f>Game!$C1</f>
        <v>guys</v>
      </c>
      <c r="I1" s="2"/>
      <c r="J1" s="2" t="str">
        <f>Game!$B1</f>
        <v>girls</v>
      </c>
      <c r="K1" s="2" t="str">
        <f>Game!$C1</f>
        <v>guys</v>
      </c>
      <c r="L1" s="2"/>
      <c r="M1" s="2" t="str">
        <f>Game!$B1</f>
        <v>girls</v>
      </c>
      <c r="N1" s="2" t="str">
        <f>Game!$C1</f>
        <v>guys</v>
      </c>
    </row>
    <row r="2" spans="1:14" x14ac:dyDescent="0.2">
      <c r="A2" s="1" t="s">
        <v>120</v>
      </c>
      <c r="D2">
        <f>B17</f>
        <v>50</v>
      </c>
      <c r="E2">
        <f>B17</f>
        <v>50</v>
      </c>
      <c r="G2" t="str">
        <f>IF(D10+E10&gt;0,G17,"")</f>
        <v/>
      </c>
      <c r="H2" t="str">
        <f>IF(D10+E10&gt;0,H17,"")</f>
        <v/>
      </c>
      <c r="J2" t="str">
        <f>IF(G10+H10&gt;0,J17,"")</f>
        <v/>
      </c>
      <c r="K2" t="str">
        <f>IF(G10+H10&gt;0,K17,"")</f>
        <v/>
      </c>
      <c r="M2" t="str">
        <f>IF(J10+K10&gt;0,M17,"")</f>
        <v/>
      </c>
      <c r="N2" t="str">
        <f>IF(J10+K10&gt;0,N17,"")</f>
        <v/>
      </c>
    </row>
    <row r="3" spans="1:14" x14ac:dyDescent="0.2">
      <c r="A3" s="1" t="s">
        <v>6</v>
      </c>
      <c r="B3" s="1">
        <v>200</v>
      </c>
      <c r="D3">
        <f>Game!B3*Scoring!$B3</f>
        <v>0</v>
      </c>
      <c r="E3">
        <f>Game!C3*Scoring!$B3</f>
        <v>0</v>
      </c>
      <c r="G3">
        <f>Game!E3*Scoring!$B3</f>
        <v>0</v>
      </c>
      <c r="H3">
        <f>Game!F3*Scoring!$B3</f>
        <v>0</v>
      </c>
      <c r="J3">
        <f>Game!H3*Scoring!$B3</f>
        <v>0</v>
      </c>
      <c r="K3">
        <f>Game!I3*Scoring!$B3</f>
        <v>0</v>
      </c>
      <c r="M3">
        <f>Game!K3*Scoring!$B3</f>
        <v>0</v>
      </c>
      <c r="N3">
        <f>Game!L3*Scoring!$B3</f>
        <v>0</v>
      </c>
    </row>
    <row r="4" spans="1:14" x14ac:dyDescent="0.2">
      <c r="A4" s="1" t="s">
        <v>1</v>
      </c>
      <c r="B4" s="1">
        <v>500</v>
      </c>
      <c r="D4">
        <f>Game!B4*Scoring!$B4</f>
        <v>0</v>
      </c>
      <c r="E4">
        <f>Game!C4*Scoring!$B4</f>
        <v>0</v>
      </c>
      <c r="G4">
        <f>Game!E4*Scoring!$B4</f>
        <v>0</v>
      </c>
      <c r="H4">
        <f>Game!F4*Scoring!$B4</f>
        <v>0</v>
      </c>
      <c r="J4">
        <f>Game!H4*Scoring!$B4</f>
        <v>0</v>
      </c>
      <c r="K4">
        <f>Game!I4*Scoring!$B4</f>
        <v>0</v>
      </c>
      <c r="M4">
        <f>Game!K4*Scoring!$B4</f>
        <v>0</v>
      </c>
      <c r="N4">
        <f>Game!L4*Scoring!$B4</f>
        <v>0</v>
      </c>
    </row>
    <row r="5" spans="1:14" x14ac:dyDescent="0.2">
      <c r="A5" s="1" t="s">
        <v>0</v>
      </c>
      <c r="B5" s="1">
        <v>300</v>
      </c>
      <c r="D5">
        <f>Game!B5*Scoring!$B5</f>
        <v>0</v>
      </c>
      <c r="E5">
        <f>Game!C5*Scoring!$B5</f>
        <v>0</v>
      </c>
      <c r="G5">
        <f>Game!E5*Scoring!$B5</f>
        <v>0</v>
      </c>
      <c r="H5">
        <f>Game!F5*Scoring!$B5</f>
        <v>0</v>
      </c>
      <c r="J5">
        <f>Game!H5*Scoring!$B5</f>
        <v>0</v>
      </c>
      <c r="K5">
        <f>Game!I5*Scoring!$B5</f>
        <v>0</v>
      </c>
      <c r="M5">
        <f>Game!K5*Scoring!$B5</f>
        <v>0</v>
      </c>
      <c r="N5">
        <f>Game!L5*Scoring!$B5</f>
        <v>0</v>
      </c>
    </row>
    <row r="6" spans="1:14" x14ac:dyDescent="0.2">
      <c r="A6" s="1" t="s">
        <v>3</v>
      </c>
      <c r="B6" s="1">
        <v>2000</v>
      </c>
      <c r="D6">
        <f>Game!B6*Scoring!$B6</f>
        <v>0</v>
      </c>
      <c r="E6">
        <f>Game!C6*Scoring!$B6</f>
        <v>0</v>
      </c>
      <c r="G6">
        <f>Game!E6*Scoring!$B6</f>
        <v>0</v>
      </c>
      <c r="H6">
        <f>Game!F6*Scoring!$B6</f>
        <v>0</v>
      </c>
      <c r="J6">
        <f>Game!H6*Scoring!$B6</f>
        <v>0</v>
      </c>
      <c r="K6">
        <f>Game!I6*Scoring!$B6</f>
        <v>0</v>
      </c>
      <c r="M6">
        <f>Game!K6*Scoring!$B6</f>
        <v>0</v>
      </c>
      <c r="N6">
        <f>Game!L6*Scoring!$B6</f>
        <v>0</v>
      </c>
    </row>
    <row r="7" spans="1:14" x14ac:dyDescent="0.2">
      <c r="A7" s="1" t="s">
        <v>2</v>
      </c>
      <c r="B7" s="1">
        <v>1500</v>
      </c>
      <c r="D7">
        <f>Game!B7*Scoring!$B7</f>
        <v>0</v>
      </c>
      <c r="E7">
        <f>Game!C7*Scoring!$B7</f>
        <v>0</v>
      </c>
      <c r="G7">
        <f>Game!E7*Scoring!$B7</f>
        <v>0</v>
      </c>
      <c r="H7">
        <f>Game!F7*Scoring!$B7</f>
        <v>0</v>
      </c>
      <c r="J7">
        <f>Game!H7*Scoring!$B7</f>
        <v>0</v>
      </c>
      <c r="K7">
        <f>Game!I7*Scoring!$B7</f>
        <v>0</v>
      </c>
      <c r="M7">
        <f>Game!K7*Scoring!$B7</f>
        <v>0</v>
      </c>
      <c r="N7">
        <f>Game!L7*Scoring!$B7</f>
        <v>0</v>
      </c>
    </row>
    <row r="8" spans="1:14" x14ac:dyDescent="0.2">
      <c r="A8" s="1" t="s">
        <v>9</v>
      </c>
      <c r="B8" s="1">
        <v>1000</v>
      </c>
      <c r="D8">
        <f>Game!B8*Scoring!$B8</f>
        <v>0</v>
      </c>
      <c r="E8">
        <f>Game!C8*Scoring!$B8</f>
        <v>0</v>
      </c>
      <c r="G8">
        <f>Game!E8*Scoring!$B8</f>
        <v>0</v>
      </c>
      <c r="H8">
        <f>Game!F8*Scoring!$B8</f>
        <v>0</v>
      </c>
      <c r="J8">
        <f>Game!H8*Scoring!$B8</f>
        <v>0</v>
      </c>
      <c r="K8">
        <f>Game!I8*Scoring!$B8</f>
        <v>0</v>
      </c>
      <c r="M8">
        <f>Game!K8*Scoring!$B8</f>
        <v>0</v>
      </c>
      <c r="N8">
        <f>Game!L8*Scoring!$B8</f>
        <v>0</v>
      </c>
    </row>
    <row r="9" spans="1:14" x14ac:dyDescent="0.2">
      <c r="A9" s="1" t="s">
        <v>5</v>
      </c>
      <c r="B9" s="1">
        <v>100</v>
      </c>
      <c r="D9">
        <f>Game!B9*Scoring!$B9</f>
        <v>0</v>
      </c>
      <c r="E9">
        <f>Game!C9*Scoring!$B9</f>
        <v>0</v>
      </c>
      <c r="G9">
        <f>Game!E9*Scoring!$B9</f>
        <v>0</v>
      </c>
      <c r="H9">
        <f>Game!F9*Scoring!$B9</f>
        <v>0</v>
      </c>
      <c r="J9">
        <f>Game!H9*Scoring!$B9</f>
        <v>0</v>
      </c>
      <c r="K9">
        <f>Game!I9*Scoring!$B9</f>
        <v>0</v>
      </c>
      <c r="M9">
        <f>Game!K9*Scoring!$B9</f>
        <v>0</v>
      </c>
      <c r="N9">
        <f>Game!L9*Scoring!$B9</f>
        <v>0</v>
      </c>
    </row>
    <row r="10" spans="1:14" x14ac:dyDescent="0.2">
      <c r="A10" s="1" t="s">
        <v>4</v>
      </c>
      <c r="B10" s="1">
        <v>500</v>
      </c>
      <c r="D10">
        <f>Game!B10*Scoring!$B10</f>
        <v>0</v>
      </c>
      <c r="E10">
        <f>Game!C10*Scoring!$B10</f>
        <v>0</v>
      </c>
      <c r="G10">
        <f>Game!E10*Scoring!$B10</f>
        <v>0</v>
      </c>
      <c r="H10">
        <f>Game!F10*Scoring!$B10</f>
        <v>0</v>
      </c>
      <c r="J10">
        <f>Game!H10*Scoring!$B10</f>
        <v>0</v>
      </c>
      <c r="K10">
        <f>Game!I10*Scoring!$B10</f>
        <v>0</v>
      </c>
      <c r="M10">
        <f>Game!K10*Scoring!$B10</f>
        <v>0</v>
      </c>
      <c r="N10">
        <f>Game!L10*Scoring!$B10</f>
        <v>0</v>
      </c>
    </row>
    <row r="11" spans="1:14" x14ac:dyDescent="0.2">
      <c r="A11" s="1" t="s">
        <v>10</v>
      </c>
      <c r="B11" s="1">
        <v>1</v>
      </c>
      <c r="D11">
        <f>Game!B11*Scoring!$B11</f>
        <v>0</v>
      </c>
      <c r="E11">
        <f>Game!C11*Scoring!$B11</f>
        <v>0</v>
      </c>
      <c r="G11">
        <f>Game!E11*Scoring!$B11</f>
        <v>0</v>
      </c>
      <c r="H11">
        <f>Game!F11*Scoring!$B11</f>
        <v>0</v>
      </c>
      <c r="J11">
        <f>Game!H11*Scoring!$B11</f>
        <v>0</v>
      </c>
      <c r="K11">
        <f>Game!I11*Scoring!$B11</f>
        <v>0</v>
      </c>
      <c r="M11">
        <f>Game!K11*Scoring!$B11</f>
        <v>0</v>
      </c>
      <c r="N11">
        <f>Game!L11*Scoring!$B11</f>
        <v>0</v>
      </c>
    </row>
    <row r="12" spans="1:14" x14ac:dyDescent="0.2">
      <c r="A12" s="1" t="s">
        <v>11</v>
      </c>
      <c r="B12" s="1">
        <v>1</v>
      </c>
      <c r="D12">
        <f>-ABS(Game!B12*Scoring!$B12)</f>
        <v>0</v>
      </c>
      <c r="E12">
        <f>-ABS(Game!C12*Scoring!$B12)</f>
        <v>0</v>
      </c>
      <c r="G12">
        <f>-ABS(Game!E12*Scoring!$B12)</f>
        <v>0</v>
      </c>
      <c r="H12">
        <f>-ABS(Game!F12*Scoring!$B12)</f>
        <v>0</v>
      </c>
      <c r="J12">
        <f>-ABS(Game!H12*Scoring!$B12)</f>
        <v>0</v>
      </c>
      <c r="K12">
        <f>-ABS(Game!I12*Scoring!$B12)</f>
        <v>0</v>
      </c>
      <c r="M12">
        <f>-ABS(Game!K12*Scoring!$B12)</f>
        <v>0</v>
      </c>
      <c r="N12">
        <f>-ABS(Game!L12*Scoring!$B12)</f>
        <v>0</v>
      </c>
    </row>
    <row r="13" spans="1:14" x14ac:dyDescent="0.2">
      <c r="D13">
        <f>SUM(D3:D12)</f>
        <v>0</v>
      </c>
      <c r="E13">
        <f>SUM(E3:E12)</f>
        <v>0</v>
      </c>
      <c r="G13">
        <f>SUM(G3:G12)+D13</f>
        <v>0</v>
      </c>
      <c r="H13">
        <f>SUM(H3:H12)+E13</f>
        <v>0</v>
      </c>
      <c r="J13">
        <f>SUM(J3:J12)+G13</f>
        <v>0</v>
      </c>
      <c r="K13">
        <f>SUM(K3:K12)+H13</f>
        <v>0</v>
      </c>
      <c r="M13">
        <f>SUM(M3:M12)+J13</f>
        <v>0</v>
      </c>
      <c r="N13">
        <f>SUM(N3:N12)+K13</f>
        <v>0</v>
      </c>
    </row>
    <row r="16" spans="1:14" x14ac:dyDescent="0.2">
      <c r="A16" s="1" t="s">
        <v>121</v>
      </c>
    </row>
    <row r="17" spans="1:14" x14ac:dyDescent="0.2">
      <c r="A17">
        <v>0</v>
      </c>
      <c r="B17" s="1">
        <v>50</v>
      </c>
      <c r="D17">
        <f>B17</f>
        <v>50</v>
      </c>
      <c r="E17">
        <f>B17</f>
        <v>50</v>
      </c>
      <c r="G17">
        <f>IF(D13&lt;$A18,$B17,IF(D13&lt;$A19,$B18,IF(D13&lt;$A20,$B19,IF(D13&lt;$A21,$B20,IF(D13&lt;$A22,$B21,$B22)))))</f>
        <v>50</v>
      </c>
      <c r="H17">
        <f>IF(E13&lt;$A18,$B17,IF(E13&lt;$A19,$B18,IF(E13&lt;$A20,$B19,IF(E13&lt;$A21,$B20,IF(E13&lt;$A22,$B21,$B22)))))</f>
        <v>50</v>
      </c>
      <c r="J17">
        <f>IF(G13&lt;$A18,$B17,IF(G13&lt;$A19,$B18,IF(G13&lt;$A20,$B19,IF(G13&lt;$A21,$B20,IF(G13&lt;$A22,$B21,$B22)))))</f>
        <v>50</v>
      </c>
      <c r="K17">
        <f>IF(H13&lt;$A18,$B17,IF(H13&lt;$A19,$B18,IF(H13&lt;$A20,$B19,IF(H13&lt;$A21,$B20,IF(H13&lt;$A22,$B21,$B22)))))</f>
        <v>50</v>
      </c>
      <c r="M17">
        <f>IF(J13&lt;$A18,$B17,IF(J13&lt;$A19,$B18,IF(J13&lt;$A20,$B19,IF(J13&lt;$A21,$B20,IF(J13&lt;$A22,$B21,$B22)))))</f>
        <v>50</v>
      </c>
      <c r="N17">
        <f>IF(K13&lt;$A18,$B17,IF(K13&lt;$A19,$B18,IF(K13&lt;$A20,$B19,IF(K13&lt;$A21,$B20,IF(K13&lt;$A22,$B21,$B22)))))</f>
        <v>50</v>
      </c>
    </row>
    <row r="18" spans="1:14" x14ac:dyDescent="0.2">
      <c r="A18">
        <v>7500</v>
      </c>
      <c r="B18" s="1">
        <v>90</v>
      </c>
    </row>
    <row r="19" spans="1:14" x14ac:dyDescent="0.2">
      <c r="A19">
        <v>15000</v>
      </c>
      <c r="B19" s="1">
        <v>120</v>
      </c>
    </row>
    <row r="20" spans="1:14" x14ac:dyDescent="0.2">
      <c r="A20">
        <v>22500</v>
      </c>
      <c r="B20" s="1">
        <v>150</v>
      </c>
    </row>
    <row r="21" spans="1:14" x14ac:dyDescent="0.2">
      <c r="A21">
        <v>30000</v>
      </c>
      <c r="B21" s="1">
        <v>180</v>
      </c>
    </row>
    <row r="22" spans="1:14" x14ac:dyDescent="0.2">
      <c r="A22">
        <v>37500</v>
      </c>
      <c r="B22" s="1">
        <v>220</v>
      </c>
    </row>
  </sheetData>
  <sheetProtection selectLockedCells="1" selectUnlockedCells="1"/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86915-D3CF-3643-BF88-6EA93890D9B5}">
  <sheetPr codeName="Sheet3"/>
  <dimension ref="A2:B393"/>
  <sheetViews>
    <sheetView zoomScale="127" zoomScaleNormal="127" workbookViewId="0">
      <selection activeCell="B24" sqref="B24"/>
    </sheetView>
  </sheetViews>
  <sheetFormatPr baseColWidth="10" defaultColWidth="11" defaultRowHeight="15" x14ac:dyDescent="0.2"/>
  <cols>
    <col min="2" max="2" width="93.83203125" customWidth="1"/>
  </cols>
  <sheetData>
    <row r="2" spans="1:2" ht="32" x14ac:dyDescent="0.2">
      <c r="A2" s="16" t="s">
        <v>129</v>
      </c>
      <c r="B2" s="17" t="s">
        <v>130</v>
      </c>
    </row>
    <row r="3" spans="1:2" ht="16" x14ac:dyDescent="0.2">
      <c r="A3" s="16" t="s">
        <v>122</v>
      </c>
      <c r="B3" s="17" t="s">
        <v>123</v>
      </c>
    </row>
    <row r="4" spans="1:2" ht="16" x14ac:dyDescent="0.2">
      <c r="A4" s="16"/>
      <c r="B4" s="17" t="s">
        <v>124</v>
      </c>
    </row>
    <row r="5" spans="1:2" ht="16" x14ac:dyDescent="0.2">
      <c r="A5" s="16"/>
      <c r="B5" s="17" t="s">
        <v>125</v>
      </c>
    </row>
    <row r="6" spans="1:2" ht="16" x14ac:dyDescent="0.2">
      <c r="A6" s="16"/>
      <c r="B6" s="17" t="s">
        <v>126</v>
      </c>
    </row>
    <row r="7" spans="1:2" ht="16" x14ac:dyDescent="0.2">
      <c r="A7" s="16" t="s">
        <v>127</v>
      </c>
      <c r="B7" s="17" t="s">
        <v>128</v>
      </c>
    </row>
    <row r="8" spans="1:2" ht="16" x14ac:dyDescent="0.2">
      <c r="A8" s="16" t="s">
        <v>131</v>
      </c>
      <c r="B8" s="17" t="s">
        <v>133</v>
      </c>
    </row>
    <row r="9" spans="1:2" ht="32" x14ac:dyDescent="0.2">
      <c r="A9" s="16" t="s">
        <v>15</v>
      </c>
      <c r="B9" s="17" t="s">
        <v>132</v>
      </c>
    </row>
    <row r="10" spans="1:2" x14ac:dyDescent="0.2">
      <c r="A10" s="16" t="s">
        <v>134</v>
      </c>
      <c r="B10" s="16" t="s">
        <v>135</v>
      </c>
    </row>
    <row r="11" spans="1:2" x14ac:dyDescent="0.2">
      <c r="A11" s="16" t="s">
        <v>136</v>
      </c>
      <c r="B11" s="16" t="s">
        <v>137</v>
      </c>
    </row>
    <row r="12" spans="1:2" x14ac:dyDescent="0.2">
      <c r="A12" s="16"/>
      <c r="B12" s="16" t="s">
        <v>138</v>
      </c>
    </row>
    <row r="13" spans="1:2" x14ac:dyDescent="0.2">
      <c r="A13" s="16"/>
      <c r="B13" s="16" t="s">
        <v>139</v>
      </c>
    </row>
    <row r="14" spans="1:2" x14ac:dyDescent="0.2">
      <c r="A14" s="16" t="s">
        <v>140</v>
      </c>
      <c r="B14" s="16" t="s">
        <v>141</v>
      </c>
    </row>
    <row r="15" spans="1:2" x14ac:dyDescent="0.2">
      <c r="A15" s="16"/>
      <c r="B15" s="16"/>
    </row>
    <row r="16" spans="1:2" x14ac:dyDescent="0.2">
      <c r="A16" s="16"/>
      <c r="B16" s="16"/>
    </row>
    <row r="17" spans="1:2" x14ac:dyDescent="0.2">
      <c r="A17" s="16"/>
      <c r="B17" s="16"/>
    </row>
    <row r="18" spans="1:2" x14ac:dyDescent="0.2">
      <c r="A18" s="16"/>
      <c r="B18" s="16"/>
    </row>
    <row r="19" spans="1:2" x14ac:dyDescent="0.2">
      <c r="A19" s="16"/>
      <c r="B19" s="16"/>
    </row>
    <row r="20" spans="1:2" x14ac:dyDescent="0.2">
      <c r="A20" s="16"/>
      <c r="B20" s="16"/>
    </row>
    <row r="21" spans="1:2" x14ac:dyDescent="0.2">
      <c r="A21" s="16"/>
      <c r="B21" s="16"/>
    </row>
    <row r="22" spans="1:2" x14ac:dyDescent="0.2">
      <c r="A22" s="16"/>
      <c r="B22" s="16"/>
    </row>
    <row r="23" spans="1:2" x14ac:dyDescent="0.2">
      <c r="A23" s="16"/>
      <c r="B23" s="16"/>
    </row>
    <row r="24" spans="1:2" x14ac:dyDescent="0.2">
      <c r="A24" s="16"/>
      <c r="B24" s="16"/>
    </row>
    <row r="25" spans="1:2" x14ac:dyDescent="0.2">
      <c r="A25" s="16"/>
      <c r="B25" s="16"/>
    </row>
    <row r="26" spans="1:2" x14ac:dyDescent="0.2">
      <c r="A26" s="16"/>
      <c r="B26" s="16"/>
    </row>
    <row r="27" spans="1:2" x14ac:dyDescent="0.2">
      <c r="A27" s="16"/>
      <c r="B27" s="16"/>
    </row>
    <row r="28" spans="1:2" x14ac:dyDescent="0.2">
      <c r="A28" s="16"/>
      <c r="B28" s="16"/>
    </row>
    <row r="29" spans="1:2" x14ac:dyDescent="0.2">
      <c r="A29" s="16"/>
      <c r="B29" s="16"/>
    </row>
    <row r="30" spans="1:2" x14ac:dyDescent="0.2">
      <c r="A30" s="16"/>
      <c r="B30" s="16"/>
    </row>
    <row r="31" spans="1:2" x14ac:dyDescent="0.2">
      <c r="A31" s="16"/>
      <c r="B31" s="16"/>
    </row>
    <row r="32" spans="1:2" x14ac:dyDescent="0.2">
      <c r="A32" s="16"/>
      <c r="B32" s="16"/>
    </row>
    <row r="33" spans="1:2" x14ac:dyDescent="0.2">
      <c r="A33" s="16"/>
      <c r="B33" s="16"/>
    </row>
    <row r="34" spans="1:2" x14ac:dyDescent="0.2">
      <c r="A34" s="16"/>
      <c r="B34" s="16"/>
    </row>
    <row r="35" spans="1:2" x14ac:dyDescent="0.2">
      <c r="A35" s="16"/>
      <c r="B35" s="16"/>
    </row>
    <row r="36" spans="1:2" x14ac:dyDescent="0.2">
      <c r="A36" s="16"/>
      <c r="B36" s="16"/>
    </row>
    <row r="37" spans="1:2" x14ac:dyDescent="0.2">
      <c r="A37" s="16"/>
      <c r="B37" s="16"/>
    </row>
    <row r="38" spans="1:2" x14ac:dyDescent="0.2">
      <c r="A38" s="16"/>
      <c r="B38" s="16"/>
    </row>
    <row r="39" spans="1:2" x14ac:dyDescent="0.2">
      <c r="A39" s="16"/>
      <c r="B39" s="16"/>
    </row>
    <row r="40" spans="1:2" x14ac:dyDescent="0.2">
      <c r="A40" s="16"/>
      <c r="B40" s="16"/>
    </row>
    <row r="41" spans="1:2" x14ac:dyDescent="0.2">
      <c r="A41" s="16"/>
      <c r="B41" s="16"/>
    </row>
    <row r="42" spans="1:2" x14ac:dyDescent="0.2">
      <c r="A42" s="16"/>
      <c r="B42" s="16"/>
    </row>
    <row r="43" spans="1:2" x14ac:dyDescent="0.2">
      <c r="A43" s="16"/>
      <c r="B43" s="16"/>
    </row>
    <row r="44" spans="1:2" x14ac:dyDescent="0.2">
      <c r="A44" s="16"/>
      <c r="B44" s="16"/>
    </row>
    <row r="45" spans="1:2" x14ac:dyDescent="0.2">
      <c r="A45" s="15"/>
      <c r="B45" s="15"/>
    </row>
    <row r="46" spans="1:2" x14ac:dyDescent="0.2">
      <c r="A46" s="15"/>
      <c r="B46" s="15"/>
    </row>
    <row r="47" spans="1:2" x14ac:dyDescent="0.2">
      <c r="A47" s="15"/>
      <c r="B47" s="15"/>
    </row>
    <row r="48" spans="1:2" x14ac:dyDescent="0.2">
      <c r="A48" s="15"/>
      <c r="B48" s="15"/>
    </row>
    <row r="49" spans="1:2" x14ac:dyDescent="0.2">
      <c r="A49" s="15"/>
      <c r="B49" s="15"/>
    </row>
    <row r="50" spans="1:2" x14ac:dyDescent="0.2">
      <c r="A50" s="15"/>
      <c r="B50" s="15"/>
    </row>
    <row r="51" spans="1:2" x14ac:dyDescent="0.2">
      <c r="A51" s="15"/>
      <c r="B51" s="15"/>
    </row>
    <row r="52" spans="1:2" x14ac:dyDescent="0.2">
      <c r="A52" s="15"/>
      <c r="B52" s="15"/>
    </row>
    <row r="53" spans="1:2" x14ac:dyDescent="0.2">
      <c r="A53" s="15"/>
      <c r="B53" s="15"/>
    </row>
    <row r="54" spans="1:2" x14ac:dyDescent="0.2">
      <c r="A54" s="15"/>
      <c r="B54" s="15"/>
    </row>
    <row r="55" spans="1:2" x14ac:dyDescent="0.2">
      <c r="A55" s="15"/>
      <c r="B55" s="15"/>
    </row>
    <row r="56" spans="1:2" x14ac:dyDescent="0.2">
      <c r="A56" s="15"/>
      <c r="B56" s="15"/>
    </row>
    <row r="57" spans="1:2" x14ac:dyDescent="0.2">
      <c r="A57" s="15"/>
      <c r="B57" s="15"/>
    </row>
    <row r="58" spans="1:2" x14ac:dyDescent="0.2">
      <c r="A58" s="15"/>
      <c r="B58" s="15"/>
    </row>
    <row r="59" spans="1:2" x14ac:dyDescent="0.2">
      <c r="A59" s="15"/>
      <c r="B59" s="15"/>
    </row>
    <row r="60" spans="1:2" x14ac:dyDescent="0.2">
      <c r="A60" s="15"/>
      <c r="B60" s="15"/>
    </row>
    <row r="61" spans="1:2" x14ac:dyDescent="0.2">
      <c r="A61" s="15"/>
      <c r="B61" s="15"/>
    </row>
    <row r="62" spans="1:2" x14ac:dyDescent="0.2">
      <c r="A62" s="15"/>
      <c r="B62" s="15"/>
    </row>
    <row r="63" spans="1:2" x14ac:dyDescent="0.2">
      <c r="A63" s="15"/>
      <c r="B63" s="15"/>
    </row>
    <row r="64" spans="1:2" x14ac:dyDescent="0.2">
      <c r="A64" s="15"/>
      <c r="B64" s="15"/>
    </row>
    <row r="65" spans="1:2" x14ac:dyDescent="0.2">
      <c r="A65" s="15"/>
      <c r="B65" s="15"/>
    </row>
    <row r="66" spans="1:2" x14ac:dyDescent="0.2">
      <c r="A66" s="15"/>
      <c r="B66" s="15"/>
    </row>
    <row r="67" spans="1:2" x14ac:dyDescent="0.2">
      <c r="A67" s="15"/>
      <c r="B67" s="15"/>
    </row>
    <row r="68" spans="1:2" x14ac:dyDescent="0.2">
      <c r="A68" s="15"/>
      <c r="B68" s="15"/>
    </row>
    <row r="69" spans="1:2" x14ac:dyDescent="0.2">
      <c r="A69" s="15"/>
      <c r="B69" s="15"/>
    </row>
    <row r="70" spans="1:2" x14ac:dyDescent="0.2">
      <c r="A70" s="15"/>
      <c r="B70" s="15"/>
    </row>
    <row r="71" spans="1:2" x14ac:dyDescent="0.2">
      <c r="A71" s="15"/>
      <c r="B71" s="15"/>
    </row>
    <row r="72" spans="1:2" x14ac:dyDescent="0.2">
      <c r="A72" s="15"/>
      <c r="B72" s="15"/>
    </row>
    <row r="73" spans="1:2" x14ac:dyDescent="0.2">
      <c r="A73" s="15"/>
      <c r="B73" s="15"/>
    </row>
    <row r="74" spans="1:2" x14ac:dyDescent="0.2">
      <c r="A74" s="15"/>
      <c r="B74" s="15"/>
    </row>
    <row r="75" spans="1:2" x14ac:dyDescent="0.2">
      <c r="A75" s="15"/>
      <c r="B75" s="15"/>
    </row>
    <row r="76" spans="1:2" x14ac:dyDescent="0.2">
      <c r="A76" s="15"/>
      <c r="B76" s="15"/>
    </row>
    <row r="77" spans="1:2" x14ac:dyDescent="0.2">
      <c r="A77" s="15"/>
      <c r="B77" s="15"/>
    </row>
    <row r="78" spans="1:2" x14ac:dyDescent="0.2">
      <c r="A78" s="15"/>
      <c r="B78" s="15"/>
    </row>
    <row r="79" spans="1:2" x14ac:dyDescent="0.2">
      <c r="A79" s="15"/>
      <c r="B79" s="15"/>
    </row>
    <row r="80" spans="1:2" x14ac:dyDescent="0.2">
      <c r="A80" s="15"/>
      <c r="B80" s="15"/>
    </row>
    <row r="81" spans="1:2" x14ac:dyDescent="0.2">
      <c r="A81" s="15"/>
      <c r="B81" s="15"/>
    </row>
    <row r="82" spans="1:2" x14ac:dyDescent="0.2">
      <c r="A82" s="15"/>
      <c r="B82" s="15"/>
    </row>
    <row r="83" spans="1:2" x14ac:dyDescent="0.2">
      <c r="A83" s="15"/>
      <c r="B83" s="15"/>
    </row>
    <row r="84" spans="1:2" x14ac:dyDescent="0.2">
      <c r="A84" s="15"/>
      <c r="B84" s="15"/>
    </row>
    <row r="85" spans="1:2" x14ac:dyDescent="0.2">
      <c r="A85" s="15"/>
      <c r="B85" s="15"/>
    </row>
    <row r="86" spans="1:2" x14ac:dyDescent="0.2">
      <c r="A86" s="15"/>
      <c r="B86" s="15"/>
    </row>
    <row r="87" spans="1:2" x14ac:dyDescent="0.2">
      <c r="A87" s="15"/>
      <c r="B87" s="15"/>
    </row>
    <row r="88" spans="1:2" x14ac:dyDescent="0.2">
      <c r="A88" s="15"/>
      <c r="B88" s="15"/>
    </row>
    <row r="89" spans="1:2" x14ac:dyDescent="0.2">
      <c r="A89" s="15"/>
      <c r="B89" s="15"/>
    </row>
    <row r="90" spans="1:2" x14ac:dyDescent="0.2">
      <c r="A90" s="15"/>
      <c r="B90" s="15"/>
    </row>
    <row r="91" spans="1:2" x14ac:dyDescent="0.2">
      <c r="A91" s="15"/>
      <c r="B91" s="15"/>
    </row>
    <row r="92" spans="1:2" x14ac:dyDescent="0.2">
      <c r="A92" s="15"/>
      <c r="B92" s="15"/>
    </row>
    <row r="93" spans="1:2" x14ac:dyDescent="0.2">
      <c r="A93" s="15"/>
      <c r="B93" s="15"/>
    </row>
    <row r="94" spans="1:2" x14ac:dyDescent="0.2">
      <c r="A94" s="15"/>
      <c r="B94" s="15"/>
    </row>
    <row r="95" spans="1:2" x14ac:dyDescent="0.2">
      <c r="A95" s="15"/>
      <c r="B95" s="15"/>
    </row>
    <row r="96" spans="1:2" x14ac:dyDescent="0.2">
      <c r="A96" s="15"/>
      <c r="B96" s="15"/>
    </row>
    <row r="97" spans="1:2" x14ac:dyDescent="0.2">
      <c r="A97" s="15"/>
      <c r="B97" s="15"/>
    </row>
    <row r="98" spans="1:2" x14ac:dyDescent="0.2">
      <c r="A98" s="15"/>
      <c r="B98" s="15"/>
    </row>
    <row r="99" spans="1:2" x14ac:dyDescent="0.2">
      <c r="A99" s="15"/>
      <c r="B99" s="15"/>
    </row>
    <row r="100" spans="1:2" x14ac:dyDescent="0.2">
      <c r="A100" s="15"/>
      <c r="B100" s="15"/>
    </row>
    <row r="101" spans="1:2" x14ac:dyDescent="0.2">
      <c r="A101" s="15"/>
      <c r="B101" s="15"/>
    </row>
    <row r="102" spans="1:2" x14ac:dyDescent="0.2">
      <c r="A102" s="15"/>
      <c r="B102" s="15"/>
    </row>
    <row r="103" spans="1:2" x14ac:dyDescent="0.2">
      <c r="A103" s="15"/>
      <c r="B103" s="15"/>
    </row>
    <row r="104" spans="1:2" x14ac:dyDescent="0.2">
      <c r="A104" s="15"/>
      <c r="B104" s="15"/>
    </row>
    <row r="105" spans="1:2" x14ac:dyDescent="0.2">
      <c r="A105" s="15"/>
      <c r="B105" s="15"/>
    </row>
    <row r="106" spans="1:2" x14ac:dyDescent="0.2">
      <c r="A106" s="15"/>
      <c r="B106" s="15"/>
    </row>
    <row r="107" spans="1:2" x14ac:dyDescent="0.2">
      <c r="A107" s="15"/>
      <c r="B107" s="15"/>
    </row>
    <row r="108" spans="1:2" x14ac:dyDescent="0.2">
      <c r="A108" s="15"/>
      <c r="B108" s="15"/>
    </row>
    <row r="109" spans="1:2" x14ac:dyDescent="0.2">
      <c r="A109" s="15"/>
      <c r="B109" s="15"/>
    </row>
    <row r="110" spans="1:2" x14ac:dyDescent="0.2">
      <c r="A110" s="15"/>
      <c r="B110" s="15"/>
    </row>
    <row r="111" spans="1:2" x14ac:dyDescent="0.2">
      <c r="A111" s="15"/>
      <c r="B111" s="15"/>
    </row>
    <row r="112" spans="1:2" x14ac:dyDescent="0.2">
      <c r="A112" s="15"/>
      <c r="B112" s="15"/>
    </row>
    <row r="113" spans="1:2" x14ac:dyDescent="0.2">
      <c r="A113" s="15"/>
      <c r="B113" s="15"/>
    </row>
    <row r="114" spans="1:2" x14ac:dyDescent="0.2">
      <c r="A114" s="15"/>
      <c r="B114" s="15"/>
    </row>
    <row r="115" spans="1:2" x14ac:dyDescent="0.2">
      <c r="A115" s="15"/>
      <c r="B115" s="15"/>
    </row>
    <row r="116" spans="1:2" x14ac:dyDescent="0.2">
      <c r="A116" s="15"/>
      <c r="B116" s="15"/>
    </row>
    <row r="117" spans="1:2" x14ac:dyDescent="0.2">
      <c r="A117" s="15"/>
      <c r="B117" s="15"/>
    </row>
    <row r="118" spans="1:2" x14ac:dyDescent="0.2">
      <c r="A118" s="15"/>
      <c r="B118" s="15"/>
    </row>
    <row r="119" spans="1:2" x14ac:dyDescent="0.2">
      <c r="A119" s="15"/>
      <c r="B119" s="15"/>
    </row>
    <row r="120" spans="1:2" x14ac:dyDescent="0.2">
      <c r="A120" s="15"/>
      <c r="B120" s="15"/>
    </row>
    <row r="121" spans="1:2" x14ac:dyDescent="0.2">
      <c r="A121" s="15"/>
      <c r="B121" s="15"/>
    </row>
    <row r="122" spans="1:2" x14ac:dyDescent="0.2">
      <c r="A122" s="15"/>
      <c r="B122" s="15"/>
    </row>
    <row r="123" spans="1:2" x14ac:dyDescent="0.2">
      <c r="A123" s="15"/>
      <c r="B123" s="15"/>
    </row>
    <row r="124" spans="1:2" x14ac:dyDescent="0.2">
      <c r="A124" s="15"/>
      <c r="B124" s="15"/>
    </row>
    <row r="125" spans="1:2" x14ac:dyDescent="0.2">
      <c r="A125" s="15"/>
      <c r="B125" s="15"/>
    </row>
    <row r="126" spans="1:2" x14ac:dyDescent="0.2">
      <c r="A126" s="15"/>
      <c r="B126" s="15"/>
    </row>
    <row r="127" spans="1:2" x14ac:dyDescent="0.2">
      <c r="A127" s="15"/>
      <c r="B127" s="15"/>
    </row>
    <row r="128" spans="1:2" x14ac:dyDescent="0.2">
      <c r="A128" s="15"/>
      <c r="B128" s="15"/>
    </row>
    <row r="129" spans="1:2" x14ac:dyDescent="0.2">
      <c r="A129" s="15"/>
      <c r="B129" s="15"/>
    </row>
    <row r="130" spans="1:2" x14ac:dyDescent="0.2">
      <c r="A130" s="15"/>
      <c r="B130" s="15"/>
    </row>
    <row r="131" spans="1:2" x14ac:dyDescent="0.2">
      <c r="A131" s="15"/>
      <c r="B131" s="15"/>
    </row>
    <row r="132" spans="1:2" x14ac:dyDescent="0.2">
      <c r="A132" s="15"/>
      <c r="B132" s="15"/>
    </row>
    <row r="133" spans="1:2" x14ac:dyDescent="0.2">
      <c r="A133" s="15"/>
      <c r="B133" s="15"/>
    </row>
    <row r="134" spans="1:2" x14ac:dyDescent="0.2">
      <c r="A134" s="15"/>
      <c r="B134" s="15"/>
    </row>
    <row r="135" spans="1:2" x14ac:dyDescent="0.2">
      <c r="A135" s="15"/>
      <c r="B135" s="15"/>
    </row>
    <row r="136" spans="1:2" x14ac:dyDescent="0.2">
      <c r="A136" s="15"/>
      <c r="B136" s="15"/>
    </row>
    <row r="137" spans="1:2" x14ac:dyDescent="0.2">
      <c r="A137" s="15"/>
      <c r="B137" s="15"/>
    </row>
    <row r="138" spans="1:2" x14ac:dyDescent="0.2">
      <c r="A138" s="15"/>
      <c r="B138" s="15"/>
    </row>
    <row r="139" spans="1:2" x14ac:dyDescent="0.2">
      <c r="A139" s="15"/>
      <c r="B139" s="15"/>
    </row>
    <row r="140" spans="1:2" x14ac:dyDescent="0.2">
      <c r="A140" s="15"/>
      <c r="B140" s="15"/>
    </row>
    <row r="141" spans="1:2" x14ac:dyDescent="0.2">
      <c r="A141" s="15"/>
      <c r="B141" s="15"/>
    </row>
    <row r="142" spans="1:2" x14ac:dyDescent="0.2">
      <c r="A142" s="15"/>
      <c r="B142" s="15"/>
    </row>
    <row r="143" spans="1:2" x14ac:dyDescent="0.2">
      <c r="A143" s="15"/>
      <c r="B143" s="15"/>
    </row>
    <row r="144" spans="1:2" x14ac:dyDescent="0.2">
      <c r="A144" s="15"/>
      <c r="B144" s="15"/>
    </row>
    <row r="145" spans="1:2" x14ac:dyDescent="0.2">
      <c r="A145" s="15"/>
      <c r="B145" s="15"/>
    </row>
    <row r="146" spans="1:2" x14ac:dyDescent="0.2">
      <c r="A146" s="15"/>
      <c r="B146" s="15"/>
    </row>
    <row r="147" spans="1:2" x14ac:dyDescent="0.2">
      <c r="A147" s="15"/>
      <c r="B147" s="15"/>
    </row>
    <row r="148" spans="1:2" x14ac:dyDescent="0.2">
      <c r="A148" s="15"/>
      <c r="B148" s="15"/>
    </row>
    <row r="149" spans="1:2" x14ac:dyDescent="0.2">
      <c r="A149" s="15"/>
      <c r="B149" s="15"/>
    </row>
    <row r="150" spans="1:2" x14ac:dyDescent="0.2">
      <c r="A150" s="15"/>
      <c r="B150" s="15"/>
    </row>
    <row r="151" spans="1:2" x14ac:dyDescent="0.2">
      <c r="A151" s="15"/>
      <c r="B151" s="15"/>
    </row>
    <row r="152" spans="1:2" x14ac:dyDescent="0.2">
      <c r="A152" s="15"/>
      <c r="B152" s="15"/>
    </row>
    <row r="153" spans="1:2" x14ac:dyDescent="0.2">
      <c r="A153" s="15"/>
      <c r="B153" s="15"/>
    </row>
    <row r="154" spans="1:2" x14ac:dyDescent="0.2">
      <c r="A154" s="15"/>
      <c r="B154" s="15"/>
    </row>
    <row r="155" spans="1:2" x14ac:dyDescent="0.2">
      <c r="A155" s="15"/>
      <c r="B155" s="15"/>
    </row>
    <row r="156" spans="1:2" x14ac:dyDescent="0.2">
      <c r="A156" s="15"/>
      <c r="B156" s="15"/>
    </row>
    <row r="157" spans="1:2" x14ac:dyDescent="0.2">
      <c r="A157" s="15"/>
      <c r="B157" s="15"/>
    </row>
    <row r="158" spans="1:2" x14ac:dyDescent="0.2">
      <c r="A158" s="15"/>
      <c r="B158" s="15"/>
    </row>
    <row r="159" spans="1:2" x14ac:dyDescent="0.2">
      <c r="A159" s="15"/>
      <c r="B159" s="15"/>
    </row>
    <row r="160" spans="1:2" x14ac:dyDescent="0.2">
      <c r="A160" s="15"/>
      <c r="B160" s="15"/>
    </row>
    <row r="161" spans="1:2" x14ac:dyDescent="0.2">
      <c r="A161" s="15"/>
      <c r="B161" s="15"/>
    </row>
    <row r="162" spans="1:2" x14ac:dyDescent="0.2">
      <c r="A162" s="15"/>
      <c r="B162" s="15"/>
    </row>
    <row r="163" spans="1:2" x14ac:dyDescent="0.2">
      <c r="A163" s="15"/>
      <c r="B163" s="15"/>
    </row>
    <row r="164" spans="1:2" x14ac:dyDescent="0.2">
      <c r="A164" s="15"/>
      <c r="B164" s="15"/>
    </row>
    <row r="165" spans="1:2" x14ac:dyDescent="0.2">
      <c r="A165" s="15"/>
      <c r="B165" s="15"/>
    </row>
    <row r="166" spans="1:2" x14ac:dyDescent="0.2">
      <c r="A166" s="15"/>
      <c r="B166" s="15"/>
    </row>
    <row r="167" spans="1:2" x14ac:dyDescent="0.2">
      <c r="A167" s="15"/>
      <c r="B167" s="15"/>
    </row>
    <row r="168" spans="1:2" x14ac:dyDescent="0.2">
      <c r="A168" s="15"/>
      <c r="B168" s="15"/>
    </row>
    <row r="169" spans="1:2" x14ac:dyDescent="0.2">
      <c r="A169" s="15"/>
      <c r="B169" s="15"/>
    </row>
    <row r="170" spans="1:2" x14ac:dyDescent="0.2">
      <c r="A170" s="15"/>
      <c r="B170" s="15"/>
    </row>
    <row r="171" spans="1:2" x14ac:dyDescent="0.2">
      <c r="A171" s="15"/>
      <c r="B171" s="15"/>
    </row>
    <row r="172" spans="1:2" x14ac:dyDescent="0.2">
      <c r="A172" s="15"/>
      <c r="B172" s="15"/>
    </row>
    <row r="173" spans="1:2" x14ac:dyDescent="0.2">
      <c r="A173" s="15"/>
      <c r="B173" s="15"/>
    </row>
    <row r="174" spans="1:2" x14ac:dyDescent="0.2">
      <c r="A174" s="15"/>
      <c r="B174" s="15"/>
    </row>
    <row r="175" spans="1:2" x14ac:dyDescent="0.2">
      <c r="A175" s="15"/>
      <c r="B175" s="15"/>
    </row>
    <row r="176" spans="1:2" x14ac:dyDescent="0.2">
      <c r="A176" s="15"/>
      <c r="B176" s="15"/>
    </row>
    <row r="177" spans="1:2" x14ac:dyDescent="0.2">
      <c r="A177" s="15"/>
      <c r="B177" s="15"/>
    </row>
    <row r="178" spans="1:2" x14ac:dyDescent="0.2">
      <c r="A178" s="15"/>
      <c r="B178" s="15"/>
    </row>
    <row r="179" spans="1:2" x14ac:dyDescent="0.2">
      <c r="A179" s="15"/>
      <c r="B179" s="15"/>
    </row>
    <row r="180" spans="1:2" x14ac:dyDescent="0.2">
      <c r="A180" s="15"/>
      <c r="B180" s="15"/>
    </row>
    <row r="181" spans="1:2" x14ac:dyDescent="0.2">
      <c r="A181" s="15"/>
      <c r="B181" s="15"/>
    </row>
    <row r="182" spans="1:2" x14ac:dyDescent="0.2">
      <c r="A182" s="15"/>
      <c r="B182" s="15"/>
    </row>
    <row r="183" spans="1:2" x14ac:dyDescent="0.2">
      <c r="A183" s="15"/>
      <c r="B183" s="15"/>
    </row>
    <row r="184" spans="1:2" x14ac:dyDescent="0.2">
      <c r="A184" s="15"/>
      <c r="B184" s="15"/>
    </row>
    <row r="185" spans="1:2" x14ac:dyDescent="0.2">
      <c r="A185" s="15"/>
      <c r="B185" s="15"/>
    </row>
    <row r="186" spans="1:2" x14ac:dyDescent="0.2">
      <c r="A186" s="15"/>
      <c r="B186" s="15"/>
    </row>
    <row r="187" spans="1:2" x14ac:dyDescent="0.2">
      <c r="A187" s="15"/>
      <c r="B187" s="15"/>
    </row>
    <row r="188" spans="1:2" x14ac:dyDescent="0.2">
      <c r="A188" s="15"/>
      <c r="B188" s="15"/>
    </row>
    <row r="189" spans="1:2" x14ac:dyDescent="0.2">
      <c r="A189" s="15"/>
      <c r="B189" s="15"/>
    </row>
    <row r="190" spans="1:2" x14ac:dyDescent="0.2">
      <c r="A190" s="15"/>
      <c r="B190" s="15"/>
    </row>
    <row r="191" spans="1:2" x14ac:dyDescent="0.2">
      <c r="A191" s="15"/>
      <c r="B191" s="15"/>
    </row>
    <row r="192" spans="1:2" x14ac:dyDescent="0.2">
      <c r="A192" s="15"/>
      <c r="B192" s="15"/>
    </row>
    <row r="193" spans="1:2" x14ac:dyDescent="0.2">
      <c r="A193" s="15"/>
      <c r="B193" s="15"/>
    </row>
    <row r="194" spans="1:2" x14ac:dyDescent="0.2">
      <c r="A194" s="15"/>
      <c r="B194" s="15"/>
    </row>
    <row r="195" spans="1:2" x14ac:dyDescent="0.2">
      <c r="A195" s="15"/>
      <c r="B195" s="15"/>
    </row>
    <row r="196" spans="1:2" x14ac:dyDescent="0.2">
      <c r="A196" s="15"/>
      <c r="B196" s="15"/>
    </row>
    <row r="197" spans="1:2" x14ac:dyDescent="0.2">
      <c r="A197" s="15"/>
      <c r="B197" s="15"/>
    </row>
    <row r="198" spans="1:2" x14ac:dyDescent="0.2">
      <c r="A198" s="15"/>
      <c r="B198" s="15"/>
    </row>
    <row r="199" spans="1:2" x14ac:dyDescent="0.2">
      <c r="A199" s="15"/>
      <c r="B199" s="15"/>
    </row>
    <row r="200" spans="1:2" x14ac:dyDescent="0.2">
      <c r="A200" s="15"/>
      <c r="B200" s="15"/>
    </row>
    <row r="201" spans="1:2" x14ac:dyDescent="0.2">
      <c r="A201" s="15"/>
      <c r="B201" s="15"/>
    </row>
    <row r="202" spans="1:2" x14ac:dyDescent="0.2">
      <c r="A202" s="15"/>
      <c r="B202" s="15"/>
    </row>
    <row r="203" spans="1:2" x14ac:dyDescent="0.2">
      <c r="A203" s="15"/>
      <c r="B203" s="15"/>
    </row>
    <row r="204" spans="1:2" x14ac:dyDescent="0.2">
      <c r="A204" s="15"/>
      <c r="B204" s="15"/>
    </row>
    <row r="205" spans="1:2" x14ac:dyDescent="0.2">
      <c r="A205" s="15"/>
      <c r="B205" s="15"/>
    </row>
    <row r="206" spans="1:2" x14ac:dyDescent="0.2">
      <c r="A206" s="15"/>
      <c r="B206" s="15"/>
    </row>
    <row r="207" spans="1:2" x14ac:dyDescent="0.2">
      <c r="A207" s="15"/>
      <c r="B207" s="15"/>
    </row>
    <row r="208" spans="1:2" x14ac:dyDescent="0.2">
      <c r="A208" s="15"/>
      <c r="B208" s="15"/>
    </row>
    <row r="209" spans="1:2" x14ac:dyDescent="0.2">
      <c r="A209" s="15"/>
      <c r="B209" s="15"/>
    </row>
    <row r="210" spans="1:2" x14ac:dyDescent="0.2">
      <c r="A210" s="15"/>
      <c r="B210" s="15"/>
    </row>
    <row r="211" spans="1:2" x14ac:dyDescent="0.2">
      <c r="A211" s="15"/>
      <c r="B211" s="15"/>
    </row>
    <row r="212" spans="1:2" x14ac:dyDescent="0.2">
      <c r="A212" s="15"/>
      <c r="B212" s="15"/>
    </row>
    <row r="213" spans="1:2" x14ac:dyDescent="0.2">
      <c r="A213" s="15"/>
      <c r="B213" s="15"/>
    </row>
    <row r="214" spans="1:2" x14ac:dyDescent="0.2">
      <c r="A214" s="15"/>
      <c r="B214" s="15"/>
    </row>
    <row r="215" spans="1:2" x14ac:dyDescent="0.2">
      <c r="A215" s="15"/>
      <c r="B215" s="15"/>
    </row>
    <row r="216" spans="1:2" x14ac:dyDescent="0.2">
      <c r="A216" s="15"/>
      <c r="B216" s="15"/>
    </row>
    <row r="217" spans="1:2" x14ac:dyDescent="0.2">
      <c r="A217" s="15"/>
      <c r="B217" s="15"/>
    </row>
    <row r="218" spans="1:2" x14ac:dyDescent="0.2">
      <c r="A218" s="15"/>
      <c r="B218" s="15"/>
    </row>
    <row r="219" spans="1:2" x14ac:dyDescent="0.2">
      <c r="A219" s="15"/>
      <c r="B219" s="15"/>
    </row>
    <row r="220" spans="1:2" x14ac:dyDescent="0.2">
      <c r="A220" s="15"/>
      <c r="B220" s="15"/>
    </row>
    <row r="221" spans="1:2" x14ac:dyDescent="0.2">
      <c r="A221" s="15"/>
      <c r="B221" s="15"/>
    </row>
    <row r="222" spans="1:2" x14ac:dyDescent="0.2">
      <c r="A222" s="15"/>
      <c r="B222" s="15"/>
    </row>
    <row r="223" spans="1:2" x14ac:dyDescent="0.2">
      <c r="A223" s="15"/>
      <c r="B223" s="15"/>
    </row>
    <row r="224" spans="1:2" x14ac:dyDescent="0.2">
      <c r="A224" s="15"/>
      <c r="B224" s="15"/>
    </row>
    <row r="225" spans="1:2" x14ac:dyDescent="0.2">
      <c r="A225" s="15"/>
      <c r="B225" s="15"/>
    </row>
    <row r="226" spans="1:2" x14ac:dyDescent="0.2">
      <c r="A226" s="15"/>
      <c r="B226" s="15"/>
    </row>
    <row r="227" spans="1:2" x14ac:dyDescent="0.2">
      <c r="A227" s="15"/>
      <c r="B227" s="15"/>
    </row>
    <row r="228" spans="1:2" x14ac:dyDescent="0.2">
      <c r="A228" s="15"/>
      <c r="B228" s="15"/>
    </row>
    <row r="229" spans="1:2" x14ac:dyDescent="0.2">
      <c r="A229" s="15"/>
      <c r="B229" s="15"/>
    </row>
    <row r="230" spans="1:2" x14ac:dyDescent="0.2">
      <c r="A230" s="15"/>
      <c r="B230" s="15"/>
    </row>
    <row r="231" spans="1:2" x14ac:dyDescent="0.2">
      <c r="A231" s="15"/>
      <c r="B231" s="15"/>
    </row>
    <row r="232" spans="1:2" x14ac:dyDescent="0.2">
      <c r="A232" s="15"/>
      <c r="B232" s="15"/>
    </row>
    <row r="233" spans="1:2" x14ac:dyDescent="0.2">
      <c r="A233" s="15"/>
      <c r="B233" s="15"/>
    </row>
    <row r="234" spans="1:2" x14ac:dyDescent="0.2">
      <c r="A234" s="15"/>
      <c r="B234" s="15"/>
    </row>
    <row r="235" spans="1:2" x14ac:dyDescent="0.2">
      <c r="A235" s="15"/>
      <c r="B235" s="15"/>
    </row>
    <row r="236" spans="1:2" x14ac:dyDescent="0.2">
      <c r="A236" s="15"/>
      <c r="B236" s="15"/>
    </row>
    <row r="237" spans="1:2" x14ac:dyDescent="0.2">
      <c r="A237" s="15"/>
      <c r="B237" s="15"/>
    </row>
    <row r="238" spans="1:2" x14ac:dyDescent="0.2">
      <c r="A238" s="15"/>
      <c r="B238" s="15"/>
    </row>
    <row r="239" spans="1:2" x14ac:dyDescent="0.2">
      <c r="A239" s="15"/>
      <c r="B239" s="15"/>
    </row>
    <row r="240" spans="1:2" x14ac:dyDescent="0.2">
      <c r="A240" s="15"/>
      <c r="B240" s="15"/>
    </row>
    <row r="241" spans="1:2" x14ac:dyDescent="0.2">
      <c r="A241" s="15"/>
      <c r="B241" s="15"/>
    </row>
    <row r="242" spans="1:2" x14ac:dyDescent="0.2">
      <c r="A242" s="15"/>
      <c r="B242" s="15"/>
    </row>
    <row r="243" spans="1:2" x14ac:dyDescent="0.2">
      <c r="A243" s="15"/>
      <c r="B243" s="15"/>
    </row>
    <row r="244" spans="1:2" x14ac:dyDescent="0.2">
      <c r="A244" s="15"/>
      <c r="B244" s="15"/>
    </row>
    <row r="245" spans="1:2" x14ac:dyDescent="0.2">
      <c r="A245" s="15"/>
      <c r="B245" s="15"/>
    </row>
    <row r="246" spans="1:2" x14ac:dyDescent="0.2">
      <c r="A246" s="15"/>
      <c r="B246" s="15"/>
    </row>
    <row r="247" spans="1:2" x14ac:dyDescent="0.2">
      <c r="A247" s="15"/>
      <c r="B247" s="15"/>
    </row>
    <row r="248" spans="1:2" x14ac:dyDescent="0.2">
      <c r="A248" s="15"/>
      <c r="B248" s="15"/>
    </row>
    <row r="249" spans="1:2" x14ac:dyDescent="0.2">
      <c r="A249" s="15"/>
      <c r="B249" s="15"/>
    </row>
    <row r="250" spans="1:2" x14ac:dyDescent="0.2">
      <c r="A250" s="15"/>
      <c r="B250" s="15"/>
    </row>
    <row r="251" spans="1:2" x14ac:dyDescent="0.2">
      <c r="A251" s="15"/>
      <c r="B251" s="15"/>
    </row>
    <row r="252" spans="1:2" x14ac:dyDescent="0.2">
      <c r="A252" s="15"/>
      <c r="B252" s="15"/>
    </row>
    <row r="253" spans="1:2" x14ac:dyDescent="0.2">
      <c r="A253" s="15"/>
      <c r="B253" s="15"/>
    </row>
    <row r="254" spans="1:2" x14ac:dyDescent="0.2">
      <c r="A254" s="15"/>
      <c r="B254" s="15"/>
    </row>
    <row r="255" spans="1:2" x14ac:dyDescent="0.2">
      <c r="A255" s="15"/>
      <c r="B255" s="15"/>
    </row>
    <row r="256" spans="1:2" x14ac:dyDescent="0.2">
      <c r="A256" s="15"/>
      <c r="B256" s="15"/>
    </row>
    <row r="257" spans="1:2" x14ac:dyDescent="0.2">
      <c r="A257" s="15"/>
      <c r="B257" s="15"/>
    </row>
    <row r="258" spans="1:2" x14ac:dyDescent="0.2">
      <c r="A258" s="15"/>
      <c r="B258" s="15"/>
    </row>
    <row r="259" spans="1:2" x14ac:dyDescent="0.2">
      <c r="A259" s="15"/>
      <c r="B259" s="15"/>
    </row>
    <row r="260" spans="1:2" x14ac:dyDescent="0.2">
      <c r="A260" s="15"/>
      <c r="B260" s="15"/>
    </row>
    <row r="261" spans="1:2" x14ac:dyDescent="0.2">
      <c r="A261" s="15"/>
      <c r="B261" s="15"/>
    </row>
    <row r="262" spans="1:2" x14ac:dyDescent="0.2">
      <c r="A262" s="15"/>
      <c r="B262" s="15"/>
    </row>
    <row r="263" spans="1:2" x14ac:dyDescent="0.2">
      <c r="A263" s="15"/>
      <c r="B263" s="15"/>
    </row>
    <row r="264" spans="1:2" x14ac:dyDescent="0.2">
      <c r="A264" s="15"/>
      <c r="B264" s="15"/>
    </row>
    <row r="265" spans="1:2" x14ac:dyDescent="0.2">
      <c r="A265" s="15"/>
      <c r="B265" s="15"/>
    </row>
    <row r="266" spans="1:2" x14ac:dyDescent="0.2">
      <c r="A266" s="15"/>
      <c r="B266" s="15"/>
    </row>
    <row r="267" spans="1:2" x14ac:dyDescent="0.2">
      <c r="A267" s="15"/>
      <c r="B267" s="15"/>
    </row>
    <row r="268" spans="1:2" x14ac:dyDescent="0.2">
      <c r="A268" s="15"/>
      <c r="B268" s="15"/>
    </row>
    <row r="269" spans="1:2" x14ac:dyDescent="0.2">
      <c r="A269" s="15"/>
      <c r="B269" s="15"/>
    </row>
    <row r="270" spans="1:2" x14ac:dyDescent="0.2">
      <c r="A270" s="15"/>
      <c r="B270" s="15"/>
    </row>
    <row r="271" spans="1:2" x14ac:dyDescent="0.2">
      <c r="A271" s="15"/>
      <c r="B271" s="15"/>
    </row>
    <row r="272" spans="1:2" x14ac:dyDescent="0.2">
      <c r="A272" s="15"/>
      <c r="B272" s="15"/>
    </row>
    <row r="273" spans="1:2" x14ac:dyDescent="0.2">
      <c r="A273" s="15"/>
      <c r="B273" s="15"/>
    </row>
    <row r="274" spans="1:2" x14ac:dyDescent="0.2">
      <c r="A274" s="15"/>
      <c r="B274" s="15"/>
    </row>
    <row r="275" spans="1:2" x14ac:dyDescent="0.2">
      <c r="A275" s="15"/>
      <c r="B275" s="15"/>
    </row>
    <row r="276" spans="1:2" x14ac:dyDescent="0.2">
      <c r="A276" s="15"/>
      <c r="B276" s="15"/>
    </row>
    <row r="277" spans="1:2" x14ac:dyDescent="0.2">
      <c r="A277" s="15"/>
      <c r="B277" s="15"/>
    </row>
    <row r="278" spans="1:2" x14ac:dyDescent="0.2">
      <c r="A278" s="15"/>
      <c r="B278" s="15"/>
    </row>
    <row r="279" spans="1:2" x14ac:dyDescent="0.2">
      <c r="A279" s="15"/>
      <c r="B279" s="15"/>
    </row>
    <row r="280" spans="1:2" x14ac:dyDescent="0.2">
      <c r="A280" s="15"/>
      <c r="B280" s="15"/>
    </row>
    <row r="281" spans="1:2" x14ac:dyDescent="0.2">
      <c r="A281" s="15"/>
      <c r="B281" s="15"/>
    </row>
    <row r="282" spans="1:2" x14ac:dyDescent="0.2">
      <c r="A282" s="15"/>
      <c r="B282" s="15"/>
    </row>
    <row r="283" spans="1:2" x14ac:dyDescent="0.2">
      <c r="A283" s="15"/>
      <c r="B283" s="15"/>
    </row>
    <row r="284" spans="1:2" x14ac:dyDescent="0.2">
      <c r="A284" s="15"/>
      <c r="B284" s="15"/>
    </row>
    <row r="285" spans="1:2" x14ac:dyDescent="0.2">
      <c r="A285" s="15"/>
      <c r="B285" s="15"/>
    </row>
    <row r="286" spans="1:2" x14ac:dyDescent="0.2">
      <c r="A286" s="15"/>
      <c r="B286" s="15"/>
    </row>
    <row r="287" spans="1:2" x14ac:dyDescent="0.2">
      <c r="A287" s="15"/>
      <c r="B287" s="15"/>
    </row>
    <row r="288" spans="1:2" x14ac:dyDescent="0.2">
      <c r="A288" s="15"/>
      <c r="B288" s="15"/>
    </row>
    <row r="289" spans="1:2" x14ac:dyDescent="0.2">
      <c r="A289" s="15"/>
      <c r="B289" s="15"/>
    </row>
    <row r="290" spans="1:2" x14ac:dyDescent="0.2">
      <c r="A290" s="15"/>
      <c r="B290" s="15"/>
    </row>
    <row r="291" spans="1:2" x14ac:dyDescent="0.2">
      <c r="A291" s="15"/>
      <c r="B291" s="15"/>
    </row>
    <row r="292" spans="1:2" x14ac:dyDescent="0.2">
      <c r="A292" s="15"/>
      <c r="B292" s="15"/>
    </row>
    <row r="293" spans="1:2" x14ac:dyDescent="0.2">
      <c r="A293" s="15"/>
      <c r="B293" s="15"/>
    </row>
    <row r="294" spans="1:2" x14ac:dyDescent="0.2">
      <c r="A294" s="15"/>
      <c r="B294" s="15"/>
    </row>
    <row r="295" spans="1:2" x14ac:dyDescent="0.2">
      <c r="A295" s="15"/>
      <c r="B295" s="15"/>
    </row>
    <row r="296" spans="1:2" x14ac:dyDescent="0.2">
      <c r="A296" s="15"/>
      <c r="B296" s="15"/>
    </row>
    <row r="297" spans="1:2" x14ac:dyDescent="0.2">
      <c r="A297" s="15"/>
      <c r="B297" s="15"/>
    </row>
    <row r="298" spans="1:2" x14ac:dyDescent="0.2">
      <c r="A298" s="15"/>
      <c r="B298" s="15"/>
    </row>
    <row r="299" spans="1:2" x14ac:dyDescent="0.2">
      <c r="A299" s="15"/>
      <c r="B299" s="15"/>
    </row>
    <row r="300" spans="1:2" x14ac:dyDescent="0.2">
      <c r="A300" s="15"/>
      <c r="B300" s="15"/>
    </row>
    <row r="301" spans="1:2" x14ac:dyDescent="0.2">
      <c r="A301" s="15"/>
      <c r="B301" s="15"/>
    </row>
    <row r="302" spans="1:2" x14ac:dyDescent="0.2">
      <c r="A302" s="15"/>
      <c r="B302" s="15"/>
    </row>
    <row r="303" spans="1:2" x14ac:dyDescent="0.2">
      <c r="A303" s="15"/>
      <c r="B303" s="15"/>
    </row>
    <row r="304" spans="1:2" x14ac:dyDescent="0.2">
      <c r="A304" s="15"/>
      <c r="B304" s="15"/>
    </row>
    <row r="305" spans="1:2" x14ac:dyDescent="0.2">
      <c r="A305" s="15"/>
      <c r="B305" s="15"/>
    </row>
    <row r="306" spans="1:2" x14ac:dyDescent="0.2">
      <c r="A306" s="15"/>
      <c r="B306" s="15"/>
    </row>
    <row r="307" spans="1:2" x14ac:dyDescent="0.2">
      <c r="A307" s="15"/>
      <c r="B307" s="15"/>
    </row>
    <row r="308" spans="1:2" x14ac:dyDescent="0.2">
      <c r="A308" s="15"/>
      <c r="B308" s="15"/>
    </row>
    <row r="309" spans="1:2" x14ac:dyDescent="0.2">
      <c r="A309" s="15"/>
      <c r="B309" s="15"/>
    </row>
    <row r="310" spans="1:2" x14ac:dyDescent="0.2">
      <c r="A310" s="15"/>
      <c r="B310" s="15"/>
    </row>
    <row r="311" spans="1:2" x14ac:dyDescent="0.2">
      <c r="A311" s="15"/>
      <c r="B311" s="15"/>
    </row>
    <row r="312" spans="1:2" x14ac:dyDescent="0.2">
      <c r="A312" s="15"/>
      <c r="B312" s="15"/>
    </row>
    <row r="313" spans="1:2" x14ac:dyDescent="0.2">
      <c r="A313" s="15"/>
      <c r="B313" s="15"/>
    </row>
    <row r="314" spans="1:2" x14ac:dyDescent="0.2">
      <c r="A314" s="15"/>
      <c r="B314" s="15"/>
    </row>
    <row r="315" spans="1:2" x14ac:dyDescent="0.2">
      <c r="A315" s="15"/>
      <c r="B315" s="15"/>
    </row>
    <row r="316" spans="1:2" x14ac:dyDescent="0.2">
      <c r="A316" s="15"/>
      <c r="B316" s="15"/>
    </row>
    <row r="317" spans="1:2" x14ac:dyDescent="0.2">
      <c r="A317" s="15"/>
      <c r="B317" s="15"/>
    </row>
    <row r="318" spans="1:2" x14ac:dyDescent="0.2">
      <c r="A318" s="15"/>
      <c r="B318" s="15"/>
    </row>
    <row r="319" spans="1:2" x14ac:dyDescent="0.2">
      <c r="A319" s="15"/>
      <c r="B319" s="15"/>
    </row>
    <row r="320" spans="1:2" x14ac:dyDescent="0.2">
      <c r="A320" s="15"/>
      <c r="B320" s="15"/>
    </row>
    <row r="321" spans="1:2" x14ac:dyDescent="0.2">
      <c r="A321" s="15"/>
      <c r="B321" s="15"/>
    </row>
    <row r="322" spans="1:2" x14ac:dyDescent="0.2">
      <c r="A322" s="15"/>
      <c r="B322" s="15"/>
    </row>
    <row r="323" spans="1:2" x14ac:dyDescent="0.2">
      <c r="A323" s="15"/>
      <c r="B323" s="15"/>
    </row>
    <row r="324" spans="1:2" x14ac:dyDescent="0.2">
      <c r="A324" s="15"/>
      <c r="B324" s="15"/>
    </row>
    <row r="325" spans="1:2" x14ac:dyDescent="0.2">
      <c r="A325" s="15"/>
      <c r="B325" s="15"/>
    </row>
    <row r="326" spans="1:2" x14ac:dyDescent="0.2">
      <c r="A326" s="15"/>
      <c r="B326" s="15"/>
    </row>
    <row r="327" spans="1:2" x14ac:dyDescent="0.2">
      <c r="A327" s="15"/>
      <c r="B327" s="15"/>
    </row>
    <row r="328" spans="1:2" x14ac:dyDescent="0.2">
      <c r="A328" s="15"/>
      <c r="B328" s="15"/>
    </row>
    <row r="329" spans="1:2" x14ac:dyDescent="0.2">
      <c r="A329" s="15"/>
      <c r="B329" s="15"/>
    </row>
    <row r="330" spans="1:2" x14ac:dyDescent="0.2">
      <c r="A330" s="15"/>
      <c r="B330" s="15"/>
    </row>
    <row r="331" spans="1:2" x14ac:dyDescent="0.2">
      <c r="A331" s="15"/>
      <c r="B331" s="15"/>
    </row>
    <row r="332" spans="1:2" x14ac:dyDescent="0.2">
      <c r="A332" s="15"/>
      <c r="B332" s="15"/>
    </row>
    <row r="333" spans="1:2" x14ac:dyDescent="0.2">
      <c r="A333" s="15"/>
      <c r="B333" s="15"/>
    </row>
    <row r="334" spans="1:2" x14ac:dyDescent="0.2">
      <c r="A334" s="15"/>
      <c r="B334" s="15"/>
    </row>
    <row r="335" spans="1:2" x14ac:dyDescent="0.2">
      <c r="A335" s="15"/>
      <c r="B335" s="15"/>
    </row>
    <row r="336" spans="1:2" x14ac:dyDescent="0.2">
      <c r="A336" s="15"/>
      <c r="B336" s="15"/>
    </row>
    <row r="337" spans="1:2" x14ac:dyDescent="0.2">
      <c r="A337" s="15"/>
      <c r="B337" s="15"/>
    </row>
    <row r="338" spans="1:2" x14ac:dyDescent="0.2">
      <c r="A338" s="15"/>
      <c r="B338" s="15"/>
    </row>
    <row r="339" spans="1:2" x14ac:dyDescent="0.2">
      <c r="A339" s="15"/>
      <c r="B339" s="15"/>
    </row>
    <row r="340" spans="1:2" x14ac:dyDescent="0.2">
      <c r="A340" s="15"/>
      <c r="B340" s="15"/>
    </row>
    <row r="341" spans="1:2" x14ac:dyDescent="0.2">
      <c r="A341" s="15"/>
      <c r="B341" s="15"/>
    </row>
    <row r="342" spans="1:2" x14ac:dyDescent="0.2">
      <c r="A342" s="15"/>
      <c r="B342" s="15"/>
    </row>
    <row r="343" spans="1:2" x14ac:dyDescent="0.2">
      <c r="A343" s="15"/>
      <c r="B343" s="15"/>
    </row>
    <row r="344" spans="1:2" x14ac:dyDescent="0.2">
      <c r="A344" s="15"/>
      <c r="B344" s="15"/>
    </row>
    <row r="345" spans="1:2" x14ac:dyDescent="0.2">
      <c r="A345" s="15"/>
      <c r="B345" s="15"/>
    </row>
    <row r="346" spans="1:2" x14ac:dyDescent="0.2">
      <c r="A346" s="15"/>
      <c r="B346" s="15"/>
    </row>
    <row r="347" spans="1:2" x14ac:dyDescent="0.2">
      <c r="A347" s="15"/>
      <c r="B347" s="15"/>
    </row>
    <row r="348" spans="1:2" x14ac:dyDescent="0.2">
      <c r="A348" s="15"/>
      <c r="B348" s="15"/>
    </row>
    <row r="349" spans="1:2" x14ac:dyDescent="0.2">
      <c r="A349" s="15"/>
      <c r="B349" s="15"/>
    </row>
    <row r="350" spans="1:2" x14ac:dyDescent="0.2">
      <c r="A350" s="15"/>
      <c r="B350" s="15"/>
    </row>
    <row r="351" spans="1:2" x14ac:dyDescent="0.2">
      <c r="A351" s="15"/>
      <c r="B351" s="15"/>
    </row>
    <row r="352" spans="1:2" x14ac:dyDescent="0.2">
      <c r="A352" s="15"/>
      <c r="B352" s="15"/>
    </row>
    <row r="353" spans="1:2" x14ac:dyDescent="0.2">
      <c r="A353" s="15"/>
      <c r="B353" s="15"/>
    </row>
    <row r="354" spans="1:2" x14ac:dyDescent="0.2">
      <c r="A354" s="15"/>
      <c r="B354" s="15"/>
    </row>
    <row r="355" spans="1:2" x14ac:dyDescent="0.2">
      <c r="A355" s="15"/>
      <c r="B355" s="15"/>
    </row>
    <row r="356" spans="1:2" x14ac:dyDescent="0.2">
      <c r="A356" s="15"/>
      <c r="B356" s="15"/>
    </row>
    <row r="357" spans="1:2" x14ac:dyDescent="0.2">
      <c r="A357" s="15"/>
      <c r="B357" s="15"/>
    </row>
    <row r="358" spans="1:2" x14ac:dyDescent="0.2">
      <c r="A358" s="15"/>
      <c r="B358" s="15"/>
    </row>
    <row r="359" spans="1:2" x14ac:dyDescent="0.2">
      <c r="A359" s="15"/>
      <c r="B359" s="15"/>
    </row>
    <row r="360" spans="1:2" x14ac:dyDescent="0.2">
      <c r="A360" s="15"/>
      <c r="B360" s="15"/>
    </row>
    <row r="361" spans="1:2" x14ac:dyDescent="0.2">
      <c r="A361" s="15"/>
      <c r="B361" s="15"/>
    </row>
    <row r="362" spans="1:2" x14ac:dyDescent="0.2">
      <c r="A362" s="15"/>
      <c r="B362" s="15"/>
    </row>
    <row r="363" spans="1:2" x14ac:dyDescent="0.2">
      <c r="A363" s="15"/>
      <c r="B363" s="15"/>
    </row>
    <row r="364" spans="1:2" x14ac:dyDescent="0.2">
      <c r="A364" s="15"/>
      <c r="B364" s="15"/>
    </row>
    <row r="365" spans="1:2" x14ac:dyDescent="0.2">
      <c r="A365" s="15"/>
      <c r="B365" s="15"/>
    </row>
    <row r="366" spans="1:2" x14ac:dyDescent="0.2">
      <c r="A366" s="15"/>
      <c r="B366" s="15"/>
    </row>
    <row r="367" spans="1:2" x14ac:dyDescent="0.2">
      <c r="A367" s="15"/>
      <c r="B367" s="15"/>
    </row>
    <row r="368" spans="1:2" x14ac:dyDescent="0.2">
      <c r="A368" s="15"/>
      <c r="B368" s="15"/>
    </row>
    <row r="369" spans="1:2" x14ac:dyDescent="0.2">
      <c r="A369" s="15"/>
      <c r="B369" s="15"/>
    </row>
    <row r="370" spans="1:2" x14ac:dyDescent="0.2">
      <c r="A370" s="15"/>
      <c r="B370" s="15"/>
    </row>
    <row r="371" spans="1:2" x14ac:dyDescent="0.2">
      <c r="A371" s="15"/>
      <c r="B371" s="15"/>
    </row>
    <row r="372" spans="1:2" x14ac:dyDescent="0.2">
      <c r="A372" s="15"/>
      <c r="B372" s="15"/>
    </row>
    <row r="373" spans="1:2" x14ac:dyDescent="0.2">
      <c r="A373" s="15"/>
      <c r="B373" s="15"/>
    </row>
    <row r="374" spans="1:2" x14ac:dyDescent="0.2">
      <c r="A374" s="15"/>
      <c r="B374" s="15"/>
    </row>
    <row r="375" spans="1:2" x14ac:dyDescent="0.2">
      <c r="A375" s="15"/>
      <c r="B375" s="15"/>
    </row>
    <row r="376" spans="1:2" x14ac:dyDescent="0.2">
      <c r="A376" s="15"/>
      <c r="B376" s="15"/>
    </row>
    <row r="377" spans="1:2" x14ac:dyDescent="0.2">
      <c r="A377" s="15"/>
      <c r="B377" s="15"/>
    </row>
    <row r="378" spans="1:2" x14ac:dyDescent="0.2">
      <c r="A378" s="15"/>
      <c r="B378" s="15"/>
    </row>
    <row r="379" spans="1:2" x14ac:dyDescent="0.2">
      <c r="A379" s="15"/>
      <c r="B379" s="15"/>
    </row>
    <row r="380" spans="1:2" x14ac:dyDescent="0.2">
      <c r="A380" s="15"/>
      <c r="B380" s="15"/>
    </row>
    <row r="381" spans="1:2" x14ac:dyDescent="0.2">
      <c r="A381" s="15"/>
      <c r="B381" s="15"/>
    </row>
    <row r="382" spans="1:2" x14ac:dyDescent="0.2">
      <c r="A382" s="15"/>
      <c r="B382" s="15"/>
    </row>
    <row r="383" spans="1:2" x14ac:dyDescent="0.2">
      <c r="A383" s="15"/>
      <c r="B383" s="15"/>
    </row>
    <row r="384" spans="1:2" x14ac:dyDescent="0.2">
      <c r="A384" s="15"/>
      <c r="B384" s="15"/>
    </row>
    <row r="385" spans="1:2" x14ac:dyDescent="0.2">
      <c r="A385" s="15"/>
      <c r="B385" s="15"/>
    </row>
    <row r="386" spans="1:2" x14ac:dyDescent="0.2">
      <c r="A386" s="15"/>
      <c r="B386" s="15"/>
    </row>
    <row r="387" spans="1:2" x14ac:dyDescent="0.2">
      <c r="A387" s="15"/>
      <c r="B387" s="15"/>
    </row>
    <row r="388" spans="1:2" x14ac:dyDescent="0.2">
      <c r="A388" s="15"/>
      <c r="B388" s="15"/>
    </row>
    <row r="389" spans="1:2" x14ac:dyDescent="0.2">
      <c r="A389" s="15"/>
      <c r="B389" s="15"/>
    </row>
    <row r="390" spans="1:2" x14ac:dyDescent="0.2">
      <c r="A390" s="15"/>
      <c r="B390" s="15"/>
    </row>
    <row r="391" spans="1:2" x14ac:dyDescent="0.2">
      <c r="A391" s="15"/>
      <c r="B391" s="15"/>
    </row>
    <row r="392" spans="1:2" x14ac:dyDescent="0.2">
      <c r="A392" s="15"/>
      <c r="B392" s="15"/>
    </row>
    <row r="393" spans="1:2" x14ac:dyDescent="0.2">
      <c r="A393" s="15"/>
      <c r="B393" s="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Game</vt:lpstr>
      <vt:lpstr>Scoring</vt:lpstr>
      <vt:lpstr>Rules</vt:lpstr>
      <vt:lpstr>clean</vt:lpstr>
      <vt:lpstr>count</vt:lpstr>
      <vt:lpstr>deal</vt:lpstr>
      <vt:lpstr>dirty</vt:lpstr>
      <vt:lpstr>exact</vt:lpstr>
      <vt:lpstr>fives</vt:lpstr>
      <vt:lpstr>out</vt:lpstr>
      <vt:lpstr>redthrees</vt:lpstr>
      <vt:lpstr>sevens</vt:lpstr>
      <vt:lpstr>wild</vt:lpstr>
      <vt:lpstr>wilds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rcvn</dc:creator>
  <cp:lastModifiedBy>rick VANNORMAN</cp:lastModifiedBy>
  <dcterms:created xsi:type="dcterms:W3CDTF">2021-05-17T15:46:16Z</dcterms:created>
  <dcterms:modified xsi:type="dcterms:W3CDTF">2026-10-18T16:21:42Z</dcterms:modified>
</cp:coreProperties>
</file>